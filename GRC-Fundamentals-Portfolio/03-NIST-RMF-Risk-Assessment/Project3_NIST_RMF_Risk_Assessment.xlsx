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MF Process" sheetId="1" state="visible" r:id="rId3"/>
    <sheet name="Asset Inventory" sheetId="2" state="visible" r:id="rId4"/>
    <sheet name="Risk Register" sheetId="3" state="visible" r:id="rId5"/>
    <sheet name="Executive Summary" sheetId="4" state="visible" r:id="rId6"/>
  </sheets>
  <definedNames>
    <definedName function="false" hidden="true" localSheetId="1" name="_xlnm._FilterDatabase" vbProcedure="false">'Asset Inventory'!$A$1:$G$16</definedName>
    <definedName function="false" hidden="true" localSheetId="2" name="_xlnm._FilterDatabase" vbProcedure="false">'Risk Register'!$A$1:$N$16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<sst xmlns="http://schemas.openxmlformats.org/spreadsheetml/2006/main" count="324" uniqueCount="223">
  <si>
    <t xml:space="preserve">MERIDIAN HEALTHTECH SOLUTIONS</t>
  </si>
  <si>
    <t xml:space="preserve">Risk Assessment — NIST Risk Management Framework (SP 800-37 Rev. 2 / SP 800-30 Rev. 1)</t>
  </si>
  <si>
    <t xml:space="preserve">System: Meridian Care Platform (production, AWS us-east-1/ap-south-1)  |  Classification: Confidential  |  Version 1.0</t>
  </si>
  <si>
    <t xml:space="preserve">RMF Step</t>
  </si>
  <si>
    <t xml:space="preserve">Application to Meridian HealthTech Solutions</t>
  </si>
  <si>
    <t xml:space="preserve">1. Prepare</t>
  </si>
  <si>
    <t xml:space="preserve">Established risk management roles (CISO as Authorizing Official-support, System Owner: VP Engineering), risk tolerance thresholds, and an organization-wide risk assessment methodology aligned to NIST SP 800-30. Stakeholders: Executive team, Legal/Privacy, Engineering, GRC.</t>
  </si>
  <si>
    <t xml:space="preserve">2. Categorize</t>
  </si>
  <si>
    <t xml:space="preserve">The Meridian Care Platform is categorized under FIPS 199 equivalency as MODERATE confidentiality / MODERATE integrity / MODERATE availability, driven primarily by the volume of Protected Health Information (PHI) processed (~15,000 patient records/day) and contractual uptime commitments to hospital and clinic customers.</t>
  </si>
  <si>
    <t xml:space="preserve">3. Select</t>
  </si>
  <si>
    <t xml:space="preserve">Baseline controls selected from NIST SP 800-53 Rev. 5 (Moderate baseline) and cross-walked to ISO/IEC 27001:2022 Annex A (see Project 2 Gap Analysis) and HIPAA Security Rule safeguards, tailored for a cloud-native SaaS architecture.</t>
  </si>
  <si>
    <t xml:space="preserve">4. Implement</t>
  </si>
  <si>
    <t xml:space="preserve">Controls implemented across the AWS production environment, corporate IT, and the SDLC; implementation status tracked jointly with the ISO 27001 Gap Analysis to avoid duplicate control programs.</t>
  </si>
  <si>
    <t xml:space="preserve">5. Assess</t>
  </si>
  <si>
    <t xml:space="preserve">This risk register (Risk Register tab) documents the asset inventory, threat/vulnerability pairing, likelihood and impact scoring, and resulting risk ratings — the core deliverable of the Assess step.</t>
  </si>
  <si>
    <t xml:space="preserve">6. Authorize</t>
  </si>
  <si>
    <t xml:space="preserve">Risks rated Critical or High are escalated to the CISO and, where residual risk remains High after planned treatment, to the Risk &amp; Audit Committee for a formal risk-acceptance or further-investment decision before production authorization is renewed.</t>
  </si>
  <si>
    <t xml:space="preserve">7. Monitor</t>
  </si>
  <si>
    <t xml:space="preserve">Continuous monitoring via SIEM/EDR alerting, quarterly access reviews, the vulnerability management program, and a semi-annual refresh of this risk register or immediately following a material architecture change or security incident.</t>
  </si>
  <si>
    <t xml:space="preserve">Likelihood &amp; Impact Scoring Scale (per NIST SP 800-30 Rev.1, 5x5)</t>
  </si>
  <si>
    <t xml:space="preserve">Score</t>
  </si>
  <si>
    <t xml:space="preserve">Likelihood Definition</t>
  </si>
  <si>
    <t xml:space="preserve">Impact Definition</t>
  </si>
  <si>
    <t xml:space="preserve">Rare — unlikely to occur (&lt;5% / year)</t>
  </si>
  <si>
    <t xml:space="preserve">Negligible — no PHI exposure, no service impact</t>
  </si>
  <si>
    <t xml:space="preserve">Unlikely — could occur (5–25% / year)</t>
  </si>
  <si>
    <t xml:space="preserve">Minor — limited internal impact, no customer-facing effect</t>
  </si>
  <si>
    <t xml:space="preserve">Possible — reasonably expected (25–50% / year)</t>
  </si>
  <si>
    <t xml:space="preserve">Moderate — limited PHI exposure or degraded service for a subset of customers</t>
  </si>
  <si>
    <t xml:space="preserve">Likely — expected to occur (50–75% / year)</t>
  </si>
  <si>
    <t xml:space="preserve">Major — significant PHI exposure, HIPAA breach-notification trigger, or platform-wide outage</t>
  </si>
  <si>
    <t xml:space="preserve">Almost Certain — expected multiple times/year (&gt;75%)</t>
  </si>
  <si>
    <t xml:space="preserve">Severe — large-scale PHI breach, regulatory action, or sustained multi-day outage</t>
  </si>
  <si>
    <t xml:space="preserve">Risk Rating = Likelihood x Impact</t>
  </si>
  <si>
    <t xml:space="preserve">Score Range</t>
  </si>
  <si>
    <t xml:space="preserve">Rating</t>
  </si>
  <si>
    <t xml:space="preserve">1–4</t>
  </si>
  <si>
    <t xml:space="preserve">Low</t>
  </si>
  <si>
    <t xml:space="preserve">5–9</t>
  </si>
  <si>
    <t xml:space="preserve">Medium</t>
  </si>
  <si>
    <t xml:space="preserve">10–15</t>
  </si>
  <si>
    <t xml:space="preserve">High</t>
  </si>
  <si>
    <t xml:space="preserve">16–25</t>
  </si>
  <si>
    <t xml:space="preserve">Critical</t>
  </si>
  <si>
    <t xml:space="preserve">Asset ID</t>
  </si>
  <si>
    <t xml:space="preserve">Asset Name</t>
  </si>
  <si>
    <t xml:space="preserve">Type</t>
  </si>
  <si>
    <t xml:space="preserve">Data / Function Handled</t>
  </si>
  <si>
    <t xml:space="preserve">Criticality</t>
  </si>
  <si>
    <t xml:space="preserve">Owner</t>
  </si>
  <si>
    <t xml:space="preserve">Location / Hosting</t>
  </si>
  <si>
    <t xml:space="preserve">A-01</t>
  </si>
  <si>
    <t xml:space="preserve">Patient Records Database (PostgreSQL, RDS)</t>
  </si>
  <si>
    <t xml:space="preserve">Data</t>
  </si>
  <si>
    <t xml:space="preserve">PHI, patient demographics, care-plan data</t>
  </si>
  <si>
    <t xml:space="preserve">VP Engineering</t>
  </si>
  <si>
    <t xml:space="preserve">AWS RDS Multi-AZ, us-east-1</t>
  </si>
  <si>
    <t xml:space="preserve">A-02</t>
  </si>
  <si>
    <t xml:space="preserve">Meridian Care Platform Application Servers</t>
  </si>
  <si>
    <t xml:space="preserve">System</t>
  </si>
  <si>
    <t xml:space="preserve">Application logic, session tokens</t>
  </si>
  <si>
    <t xml:space="preserve">AWS ECS, us-east-1</t>
  </si>
  <si>
    <t xml:space="preserve">A-03</t>
  </si>
  <si>
    <t xml:space="preserve">Identity Provider / SSO (Okta integration)</t>
  </si>
  <si>
    <t xml:space="preserve">Employee &amp; customer authentication credentials</t>
  </si>
  <si>
    <t xml:space="preserve">IT Operations</t>
  </si>
  <si>
    <t xml:space="preserve">Okta (SaaS) + AWS IAM</t>
  </si>
  <si>
    <t xml:space="preserve">A-04</t>
  </si>
  <si>
    <t xml:space="preserve">Source Code Repository (GitHub Enterprise)</t>
  </si>
  <si>
    <t xml:space="preserve">Proprietary application source code, IaC</t>
  </si>
  <si>
    <t xml:space="preserve">GitHub Cloud</t>
  </si>
  <si>
    <t xml:space="preserve">A-05</t>
  </si>
  <si>
    <t xml:space="preserve">Clinical Messaging / Notification Service</t>
  </si>
  <si>
    <t xml:space="preserve">PHI in transit (appointment reminders, care alerts)</t>
  </si>
  <si>
    <t xml:space="preserve">AWS SNS/SQS, us-east-1</t>
  </si>
  <si>
    <t xml:space="preserve">A-06</t>
  </si>
  <si>
    <t xml:space="preserve">Data Warehouse / Analytics Platform</t>
  </si>
  <si>
    <t xml:space="preserve">De-identified and identified PHI for reporting</t>
  </si>
  <si>
    <t xml:space="preserve">Data Engineering Lead</t>
  </si>
  <si>
    <t xml:space="preserve">AWS Redshift, us-east-1</t>
  </si>
  <si>
    <t xml:space="preserve">A-07</t>
  </si>
  <si>
    <t xml:space="preserve">Corporate Email &amp; Collaboration (Google Workspace)</t>
  </si>
  <si>
    <t xml:space="preserve">Internal communications, some PHI in support tickets</t>
  </si>
  <si>
    <t xml:space="preserve">Google Workspace (SaaS)</t>
  </si>
  <si>
    <t xml:space="preserve">A-08</t>
  </si>
  <si>
    <t xml:space="preserve">Employee Endpoints (laptops, Austin &amp; Bengaluru)</t>
  </si>
  <si>
    <t xml:space="preserve">Hardware</t>
  </si>
  <si>
    <t xml:space="preserve">Local caches, VPN credentials</t>
  </si>
  <si>
    <t xml:space="preserve">On-premises / remote, ~450 devices</t>
  </si>
  <si>
    <t xml:space="preserve">A-09</t>
  </si>
  <si>
    <t xml:space="preserve">CI/CD Pipeline (GitHub Actions, deployment keys)</t>
  </si>
  <si>
    <t xml:space="preserve">Deployment credentials, build artifacts</t>
  </si>
  <si>
    <t xml:space="preserve">GitHub Actions + AWS</t>
  </si>
  <si>
    <t xml:space="preserve">A-10</t>
  </si>
  <si>
    <t xml:space="preserve">Customer Support / Ticketing Platform (Zendesk)</t>
  </si>
  <si>
    <t xml:space="preserve">PHI shared by customers in support tickets</t>
  </si>
  <si>
    <t xml:space="preserve">Support Operations Lead</t>
  </si>
  <si>
    <t xml:space="preserve">Zendesk (SaaS)</t>
  </si>
  <si>
    <t xml:space="preserve">A-11</t>
  </si>
  <si>
    <t xml:space="preserve">Backup &amp; Disaster Recovery Store</t>
  </si>
  <si>
    <t xml:space="preserve">Encrypted backups of production PHI databases</t>
  </si>
  <si>
    <t xml:space="preserve">AWS S3 + Glacier, cross-region</t>
  </si>
  <si>
    <t xml:space="preserve">A-12</t>
  </si>
  <si>
    <t xml:space="preserve">Third-Party Billing/Payments Integration (Stripe)</t>
  </si>
  <si>
    <t xml:space="preserve">Customer payment data (tokenized), no PHI</t>
  </si>
  <si>
    <t xml:space="preserve">Finance / Engineering</t>
  </si>
  <si>
    <t xml:space="preserve">Stripe (SaaS)</t>
  </si>
  <si>
    <t xml:space="preserve">A-13</t>
  </si>
  <si>
    <t xml:space="preserve">Vendor Risk &amp; Compliance Tooling (Vanta)</t>
  </si>
  <si>
    <t xml:space="preserve">Control evidence, vendor questionnaire data</t>
  </si>
  <si>
    <t xml:space="preserve">GRC Lead</t>
  </si>
  <si>
    <t xml:space="preserve">Vanta (SaaS)</t>
  </si>
  <si>
    <t xml:space="preserve">A-14</t>
  </si>
  <si>
    <t xml:space="preserve">Network Perimeter (VPC, VPN gateway, WAF)</t>
  </si>
  <si>
    <t xml:space="preserve">N/A (infrastructure)</t>
  </si>
  <si>
    <t xml:space="preserve">AWS us-east-1</t>
  </si>
  <si>
    <t xml:space="preserve">A-15</t>
  </si>
  <si>
    <t xml:space="preserve">People — Engineering &amp; Support Staff with PHI access</t>
  </si>
  <si>
    <t xml:space="preserve">People</t>
  </si>
  <si>
    <t xml:space="preserve">N/A</t>
  </si>
  <si>
    <t xml:space="preserve">People Operations</t>
  </si>
  <si>
    <t xml:space="preserve">Austin, TX &amp; Bengaluru, India</t>
  </si>
  <si>
    <t xml:space="preserve">Risk ID</t>
  </si>
  <si>
    <t xml:space="preserve">Threat Source</t>
  </si>
  <si>
    <t xml:space="preserve">Vulnerability</t>
  </si>
  <si>
    <t xml:space="preserve">Existing Controls</t>
  </si>
  <si>
    <t xml:space="preserve">Likelihood (1-5)</t>
  </si>
  <si>
    <t xml:space="preserve">Impact (1-5)</t>
  </si>
  <si>
    <t xml:space="preserve">Risk Score</t>
  </si>
  <si>
    <t xml:space="preserve">Risk Rating</t>
  </si>
  <si>
    <t xml:space="preserve">Treatment Strategy</t>
  </si>
  <si>
    <t xml:space="preserve">Recommended Action</t>
  </si>
  <si>
    <t xml:space="preserve">Risk Owner</t>
  </si>
  <si>
    <t xml:space="preserve">Target Date</t>
  </si>
  <si>
    <t xml:space="preserve">Residual Rating</t>
  </si>
  <si>
    <t xml:space="preserve">R-01</t>
  </si>
  <si>
    <t xml:space="preserve">External threat actor (financially motivated)</t>
  </si>
  <si>
    <t xml:space="preserve">Database misconfiguration or exposed credentials could allow unauthorized bulk export of PHI</t>
  </si>
  <si>
    <t xml:space="preserve">Encryption at rest/in transit, IAM least privilege, quarterly access review</t>
  </si>
  <si>
    <t xml:space="preserve">Mitigate</t>
  </si>
  <si>
    <t xml:space="preserve">Implement automated DLP alerting on bulk query volume; enable RDS activity streams; complete Annex A 8.12 remediation (see Project 2)</t>
  </si>
  <si>
    <t xml:space="preserve">60 days</t>
  </si>
  <si>
    <t xml:space="preserve">R-02</t>
  </si>
  <si>
    <t xml:space="preserve">External threat actor (phishing/credential theft)</t>
  </si>
  <si>
    <t xml:space="preserve">Employee credential compromise via phishing could grant unauthorized access to SSO-federated systems</t>
  </si>
  <si>
    <t xml:space="preserve">MFA enforced org-wide, conditional access policies, security awareness training</t>
  </si>
  <si>
    <t xml:space="preserve">Expand phishing simulation cadence (see Project 5), deploy phishing-resistant MFA (FIDO2) for privileged roles</t>
  </si>
  <si>
    <t xml:space="preserve">90 days</t>
  </si>
  <si>
    <t xml:space="preserve">R-03</t>
  </si>
  <si>
    <t xml:space="preserve">External threat actor (application-layer attack)</t>
  </si>
  <si>
    <t xml:space="preserve">Unpatched or newly disclosed vulnerability in application dependencies could allow remote code execution</t>
  </si>
  <si>
    <t xml:space="preserve">WAF, dependency scanning in CI/CD, quarterly penetration test</t>
  </si>
  <si>
    <t xml:space="preserve">Reduce vulnerability remediation SLA for Critical/High findings to 14 days; add SCA gating to CI/CD merge checks</t>
  </si>
  <si>
    <t xml:space="preserve">R-04</t>
  </si>
  <si>
    <t xml:space="preserve">Insider (malicious or negligent)</t>
  </si>
  <si>
    <t xml:space="preserve">Departing engineer could exfiltrate proprietary source code or embedded secrets prior to offboarding</t>
  </si>
  <si>
    <t xml:space="preserve">Branch protection, code review requirements, offboarding checklist</t>
  </si>
  <si>
    <t xml:space="preserve">Deploy secret-scanning pre-commit hooks; enforce automated repo access revocation tied to HR termination event (Annex A 5.18/8.4)</t>
  </si>
  <si>
    <t xml:space="preserve">R-05</t>
  </si>
  <si>
    <t xml:space="preserve">Environmental / cloud provider outage</t>
  </si>
  <si>
    <t xml:space="preserve">Regional AWS service disruption could interrupt time-sensitive clinical messaging (appointment/medication reminders)</t>
  </si>
  <si>
    <t xml:space="preserve">Multi-AZ deployment, documented incident response runbook</t>
  </si>
  <si>
    <t xml:space="preserve">Implement cross-region failover for SNS/SQS messaging tier; conduct annual DR tabletop covering this scenario</t>
  </si>
  <si>
    <t xml:space="preserve">120 days</t>
  </si>
  <si>
    <t xml:space="preserve">R-06</t>
  </si>
  <si>
    <t xml:space="preserve">Insider (negligent) / misconfiguration</t>
  </si>
  <si>
    <t xml:space="preserve">Analytics users with broad Redshift access could query identified PHI beyond their role's need-to-know</t>
  </si>
  <si>
    <t xml:space="preserve">Role-based access, quarterly access review</t>
  </si>
  <si>
    <t xml:space="preserve">Implement data masking/de-identification for analytics use cases (Annex A 8.11); tighten Redshift row/column-level security</t>
  </si>
  <si>
    <t xml:space="preserve">R-07</t>
  </si>
  <si>
    <t xml:space="preserve">External threat actor (phishing/BEC)</t>
  </si>
  <si>
    <t xml:space="preserve">Business email compromise could be used to redirect payments or request unauthorized data disclosure</t>
  </si>
  <si>
    <t xml:space="preserve">Email security gateway, DMARC/SPF/DKIM enforced, MFA</t>
  </si>
  <si>
    <t xml:space="preserve">Add payment-change verification callback procedure; extend phishing simulation to include BEC-style pretexts</t>
  </si>
  <si>
    <t xml:space="preserve">R-08</t>
  </si>
  <si>
    <t xml:space="preserve">Lost or stolen device</t>
  </si>
  <si>
    <t xml:space="preserve">Unencrypted or unmanaged endpoint loss could expose cached PHI or session credentials</t>
  </si>
  <si>
    <t xml:space="preserve">MDM enrollment required, disk encryption policy</t>
  </si>
  <si>
    <t xml:space="preserve">Audit MDM enrollment completeness (target 100%); enable remote-wipe verification reporting</t>
  </si>
  <si>
    <t xml:space="preserve">R-09</t>
  </si>
  <si>
    <t xml:space="preserve">External threat actor / supply chain</t>
  </si>
  <si>
    <t xml:space="preserve">Compromised CI/CD pipeline or dependency could inject malicious code into production build</t>
  </si>
  <si>
    <t xml:space="preserve">Branch protection, signed commits partially enforced</t>
  </si>
  <si>
    <t xml:space="preserve">Enforce mandatory commit signing and pipeline approval gates; adopt SLSA-aligned build provenance</t>
  </si>
  <si>
    <t xml:space="preserve">R-10</t>
  </si>
  <si>
    <t xml:space="preserve">Insider (negligent) / third party</t>
  </si>
  <si>
    <t xml:space="preserve">Support agents handling PHI in tickets could mishandle or over-retain sensitive data beyond policy</t>
  </si>
  <si>
    <t xml:space="preserve">Ticketing platform access controls, data classification policy</t>
  </si>
  <si>
    <t xml:space="preserve">Implement automated PHI redaction/retention rules in Zendesk; refresh support-team training on Data Classification Policy</t>
  </si>
  <si>
    <t xml:space="preserve">R-11</t>
  </si>
  <si>
    <t xml:space="preserve">Ransomware / destructive attack</t>
  </si>
  <si>
    <t xml:space="preserve">Backup stores could be targeted or corrupted, undermining recovery capability during a ransomware event</t>
  </si>
  <si>
    <t xml:space="preserve">Cross-region backup, versioning enabled</t>
  </si>
  <si>
    <t xml:space="preserve">Implement immutable/air-gapped backup copy (S3 Object Lock); test full restoration annually</t>
  </si>
  <si>
    <t xml:space="preserve">R-12</t>
  </si>
  <si>
    <t xml:space="preserve">Third-party vendor risk</t>
  </si>
  <si>
    <t xml:space="preserve">Payment processor incident could expose tokenized payment metadata or disrupt billing operations</t>
  </si>
  <si>
    <t xml:space="preserve">PCI-DSS-compliant processor, tokenization, no card data stored</t>
  </si>
  <si>
    <t xml:space="preserve">Accept</t>
  </si>
  <si>
    <t xml:space="preserve">Maintain current vendor due-diligence cadence; monitor Stripe status page and incident notifications</t>
  </si>
  <si>
    <t xml:space="preserve">Ongoing</t>
  </si>
  <si>
    <t xml:space="preserve">R-13</t>
  </si>
  <si>
    <t xml:space="preserve">Compliance tooling vendor breach could expose control evidence and vendor questionnaire responses</t>
  </si>
  <si>
    <t xml:space="preserve">Vendor due diligence completed at onboarding, SOC 2 report on file</t>
  </si>
  <si>
    <t xml:space="preserve">Include in annual vendor recertification cycle (see Project 4)</t>
  </si>
  <si>
    <t xml:space="preserve">R-14</t>
  </si>
  <si>
    <t xml:space="preserve">External threat actor (network-layer attack)</t>
  </si>
  <si>
    <t xml:space="preserve">Distributed denial-of-service attack could degrade platform availability for all customers</t>
  </si>
  <si>
    <t xml:space="preserve">AWS Shield Standard, WAF rate-limiting</t>
  </si>
  <si>
    <t xml:space="preserve">Upgrade to AWS Shield Advanced for the production VPC; define DDoS-specific incident runbook</t>
  </si>
  <si>
    <t xml:space="preserve">R-15</t>
  </si>
  <si>
    <t xml:space="preserve">Insider (negligent) / human error</t>
  </si>
  <si>
    <t xml:space="preserve">Untrained staff could mishandle PHI due to inconsistent completion of security awareness training</t>
  </si>
  <si>
    <t xml:space="preserve">Annual training assigned, completion tracked informally</t>
  </si>
  <si>
    <t xml:space="preserve">Formalize mandatory completion tracking with escalation; launch structured phishing simulation program (Project 5)</t>
  </si>
  <si>
    <t xml:space="preserve">Risk Rating Distribution (15 assessed risks)</t>
  </si>
  <si>
    <t xml:space="preserve">Count</t>
  </si>
  <si>
    <t xml:space="preserve">Key Findings</t>
  </si>
  <si>
    <t xml:space="preserve">•</t>
  </si>
  <si>
    <t xml:space="preserve">The highest-scoring risks (R-01 PHI database exposure, R-03 application-layer RCE, R-09 CI/CD supply-chain compromise, R-11 ransomware/backup integrity) all score in the High band and share a common root cause: incomplete detective controls (DLP, dependency scanning maturity, backup immutability) rather than absent preventive controls.</t>
  </si>
  <si>
    <t xml:space="preserve">These findings directly corroborate the ISO/IEC 27001:2022 gap analysis (Project 2): Annex A 8.11 (data masking), 8.12 (data leakage prevention), and 8.8 (vulnerability management) are Partially Implemented controls whose closure would materially reduce R-01, R-03, and R-06.</t>
  </si>
  <si>
    <t xml:space="preserve">Two risks (R-12, R-13) are formally accepted at Low/Medium given compensating vendor certifications; all other identified risks carry a Mitigate treatment strategy with an assigned owner and target date.</t>
  </si>
  <si>
    <t xml:space="preserve">No risk in this assessment cycle was rated Critical after considering existing controls; three risks (R-01, R-03, R-11) are rated High and are recommended for Risk &amp; Audit Committee visibility per the Authorize step of the RMF.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</si>
</sst>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Calibri"/>
      <family val="0"/>
      <charset val="1"/>
    </font>
    <font>
      <b val="true"/>
      <sz val="13"/>
      <color rgb="FF1F7A7A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0"/>
      <name val="Calibri"/>
      <family val="0"/>
      <charset val="1"/>
    </font>
    <font>
      <sz val="9"/>
      <name val="Calibri"/>
      <family val="0"/>
      <charset val="1"/>
    </font>
    <font>
      <b val="true"/>
      <sz val="10"/>
      <color rgb="FFE0674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7A7A"/>
        <bgColor rgb="FF008080"/>
      </patternFill>
    </fill>
    <fill>
      <patternFill patternType="solid">
        <fgColor rgb="FF1B2A4A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D9B3"/>
      </patternFill>
    </fill>
    <fill>
      <patternFill patternType="solid">
        <fgColor rgb="FFFFD9B3"/>
        <bgColor rgb="FFFFEB9C"/>
      </patternFill>
    </fill>
    <fill>
      <patternFill patternType="solid">
        <fgColor rgb="FFFFC7CE"/>
        <bgColor rgb="FFFFD9B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9B3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7A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E0674A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8" min="5" style="0" width="14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.75" hidden="false" customHeight="true" outlineLevel="0" collapsed="false"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B8" s="5" t="s">
        <v>3</v>
      </c>
      <c r="C8" s="6" t="s">
        <v>4</v>
      </c>
      <c r="D8" s="6"/>
      <c r="E8" s="6"/>
      <c r="F8" s="6"/>
      <c r="G8" s="6"/>
      <c r="H8" s="6"/>
    </row>
    <row r="9" customFormat="false" ht="60" hidden="false" customHeight="true" outlineLevel="0" collapsed="false">
      <c r="B9" s="7" t="s">
        <v>5</v>
      </c>
      <c r="C9" s="8" t="s">
        <v>6</v>
      </c>
      <c r="D9" s="8"/>
      <c r="E9" s="8"/>
      <c r="F9" s="8"/>
      <c r="G9" s="8"/>
      <c r="H9" s="8"/>
    </row>
    <row r="10" customFormat="false" ht="60" hidden="false" customHeight="true" outlineLevel="0" collapsed="false">
      <c r="B10" s="7" t="s">
        <v>7</v>
      </c>
      <c r="C10" s="8" t="s">
        <v>8</v>
      </c>
      <c r="D10" s="8"/>
      <c r="E10" s="8"/>
      <c r="F10" s="8"/>
      <c r="G10" s="8"/>
      <c r="H10" s="8"/>
    </row>
    <row r="11" customFormat="false" ht="60" hidden="false" customHeight="true" outlineLevel="0" collapsed="false">
      <c r="B11" s="7" t="s">
        <v>9</v>
      </c>
      <c r="C11" s="8" t="s">
        <v>10</v>
      </c>
      <c r="D11" s="8"/>
      <c r="E11" s="8"/>
      <c r="F11" s="8"/>
      <c r="G11" s="8"/>
      <c r="H11" s="8"/>
    </row>
    <row r="12" customFormat="false" ht="60" hidden="false" customHeight="true" outlineLevel="0" collapsed="false">
      <c r="B12" s="7" t="s">
        <v>11</v>
      </c>
      <c r="C12" s="8" t="s">
        <v>12</v>
      </c>
      <c r="D12" s="8"/>
      <c r="E12" s="8"/>
      <c r="F12" s="8"/>
      <c r="G12" s="8"/>
      <c r="H12" s="8"/>
    </row>
    <row r="13" customFormat="false" ht="60" hidden="false" customHeight="true" outlineLevel="0" collapsed="false">
      <c r="B13" s="7" t="s">
        <v>13</v>
      </c>
      <c r="C13" s="8" t="s">
        <v>14</v>
      </c>
      <c r="D13" s="8"/>
      <c r="E13" s="8"/>
      <c r="F13" s="8"/>
      <c r="G13" s="8"/>
      <c r="H13" s="8"/>
    </row>
    <row r="14" customFormat="false" ht="60" hidden="false" customHeight="true" outlineLevel="0" collapsed="false">
      <c r="B14" s="7" t="s">
        <v>15</v>
      </c>
      <c r="C14" s="8" t="s">
        <v>16</v>
      </c>
      <c r="D14" s="8"/>
      <c r="E14" s="8"/>
      <c r="F14" s="8"/>
      <c r="G14" s="8"/>
      <c r="H14" s="8"/>
    </row>
    <row r="15" customFormat="false" ht="60" hidden="false" customHeight="true" outlineLevel="0" collapsed="false">
      <c r="B15" s="7" t="s">
        <v>17</v>
      </c>
      <c r="C15" s="8" t="s">
        <v>18</v>
      </c>
      <c r="D15" s="8"/>
      <c r="E15" s="8"/>
      <c r="F15" s="8"/>
      <c r="G15" s="8"/>
      <c r="H15" s="8"/>
    </row>
    <row r="18" customFormat="false" ht="15" hidden="false" customHeight="false" outlineLevel="0" collapsed="false">
      <c r="B18" s="9" t="s">
        <v>19</v>
      </c>
    </row>
    <row r="20" customFormat="false" ht="15" hidden="false" customHeight="false" outlineLevel="0" collapsed="false">
      <c r="B20" s="5" t="s">
        <v>20</v>
      </c>
      <c r="C20" s="5" t="s">
        <v>21</v>
      </c>
      <c r="D20" s="5" t="s">
        <v>22</v>
      </c>
    </row>
    <row r="21" customFormat="false" ht="15" hidden="false" customHeight="true" outlineLevel="0" collapsed="false">
      <c r="B21" s="10" t="n">
        <v>1</v>
      </c>
      <c r="C21" s="11" t="s">
        <v>23</v>
      </c>
      <c r="D21" s="12" t="s">
        <v>24</v>
      </c>
      <c r="E21" s="12"/>
      <c r="F21" s="12"/>
      <c r="G21" s="12"/>
      <c r="H21" s="12"/>
    </row>
    <row r="22" customFormat="false" ht="15" hidden="false" customHeight="true" outlineLevel="0" collapsed="false">
      <c r="B22" s="10" t="n">
        <v>2</v>
      </c>
      <c r="C22" s="11" t="s">
        <v>25</v>
      </c>
      <c r="D22" s="12" t="s">
        <v>26</v>
      </c>
      <c r="E22" s="12"/>
      <c r="F22" s="12"/>
      <c r="G22" s="12"/>
      <c r="H22" s="12"/>
    </row>
    <row r="23" customFormat="false" ht="23.85" hidden="false" customHeight="true" outlineLevel="0" collapsed="false">
      <c r="B23" s="10" t="n">
        <v>3</v>
      </c>
      <c r="C23" s="11" t="s">
        <v>27</v>
      </c>
      <c r="D23" s="12" t="s">
        <v>28</v>
      </c>
      <c r="E23" s="12"/>
      <c r="F23" s="12"/>
      <c r="G23" s="12"/>
      <c r="H23" s="12"/>
    </row>
    <row r="24" customFormat="false" ht="15" hidden="false" customHeight="true" outlineLevel="0" collapsed="false">
      <c r="B24" s="10" t="n">
        <v>4</v>
      </c>
      <c r="C24" s="11" t="s">
        <v>29</v>
      </c>
      <c r="D24" s="12" t="s">
        <v>30</v>
      </c>
      <c r="E24" s="12"/>
      <c r="F24" s="12"/>
      <c r="G24" s="12"/>
      <c r="H24" s="12"/>
    </row>
    <row r="25" customFormat="false" ht="23.85" hidden="false" customHeight="true" outlineLevel="0" collapsed="false">
      <c r="B25" s="10" t="n">
        <v>5</v>
      </c>
      <c r="C25" s="11" t="s">
        <v>31</v>
      </c>
      <c r="D25" s="12" t="s">
        <v>32</v>
      </c>
      <c r="E25" s="12"/>
      <c r="F25" s="12"/>
      <c r="G25" s="12"/>
      <c r="H25" s="12"/>
    </row>
    <row r="28" customFormat="false" ht="15" hidden="false" customHeight="false" outlineLevel="0" collapsed="false">
      <c r="B28" s="9" t="s">
        <v>33</v>
      </c>
    </row>
    <row r="30" customFormat="false" ht="15" hidden="false" customHeight="false" outlineLevel="0" collapsed="false">
      <c r="B30" s="5" t="s">
        <v>34</v>
      </c>
      <c r="C30" s="5" t="s">
        <v>35</v>
      </c>
    </row>
    <row r="31" customFormat="false" ht="15" hidden="false" customHeight="false" outlineLevel="0" collapsed="false">
      <c r="B31" s="13" t="s">
        <v>36</v>
      </c>
      <c r="C31" s="14" t="s">
        <v>37</v>
      </c>
    </row>
    <row r="32" customFormat="false" ht="15" hidden="false" customHeight="false" outlineLevel="0" collapsed="false">
      <c r="B32" s="13" t="s">
        <v>38</v>
      </c>
      <c r="C32" s="15" t="s">
        <v>39</v>
      </c>
    </row>
    <row r="33" customFormat="false" ht="15" hidden="false" customHeight="false" outlineLevel="0" collapsed="false">
      <c r="B33" s="13" t="s">
        <v>40</v>
      </c>
      <c r="C33" s="16" t="s">
        <v>41</v>
      </c>
    </row>
    <row r="34" customFormat="false" ht="15" hidden="false" customHeight="false" outlineLevel="0" collapsed="false">
      <c r="B34" s="13" t="s">
        <v>42</v>
      </c>
      <c r="C34" s="17" t="s">
        <v>43</v>
      </c>
    </row>
  </sheetData>
  <mergeCells count="13">
    <mergeCell ref="C8:H8"/>
    <mergeCell ref="C9:H9"/>
    <mergeCell ref="C10:H10"/>
    <mergeCell ref="C11:H11"/>
    <mergeCell ref="C12:H12"/>
    <mergeCell ref="C13:H13"/>
    <mergeCell ref="C14:H14"/>
    <mergeCell ref="C15:H15"/>
    <mergeCell ref="D21:H21"/>
    <mergeCell ref="D22:H22"/>
    <mergeCell ref="D23:H23"/>
    <mergeCell ref="D24:H24"/>
    <mergeCell ref="D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24"/>
  </cols>
  <sheetData>
    <row r="1" customFormat="false" ht="27.75" hidden="false" customHeight="true" outlineLevel="0" collapsed="false">
      <c r="A1" s="18" t="s">
        <v>44</v>
      </c>
      <c r="B1" s="18" t="s">
        <v>45</v>
      </c>
      <c r="C1" s="18" t="s">
        <v>46</v>
      </c>
      <c r="D1" s="18" t="s">
        <v>47</v>
      </c>
      <c r="E1" s="18" t="s">
        <v>48</v>
      </c>
      <c r="F1" s="18" t="s">
        <v>49</v>
      </c>
      <c r="G1" s="18" t="s">
        <v>50</v>
      </c>
    </row>
    <row r="2" customFormat="false" ht="15" hidden="false" customHeight="false" outlineLevel="0" collapsed="false">
      <c r="A2" s="19" t="s">
        <v>51</v>
      </c>
      <c r="B2" s="19" t="s">
        <v>52</v>
      </c>
      <c r="C2" s="19" t="s">
        <v>53</v>
      </c>
      <c r="D2" s="19" t="s">
        <v>54</v>
      </c>
      <c r="E2" s="20" t="s">
        <v>43</v>
      </c>
      <c r="F2" s="19" t="s">
        <v>55</v>
      </c>
      <c r="G2" s="19" t="s">
        <v>56</v>
      </c>
    </row>
    <row r="3" customFormat="false" ht="15" hidden="false" customHeight="false" outlineLevel="0" collapsed="false">
      <c r="A3" s="19" t="s">
        <v>57</v>
      </c>
      <c r="B3" s="19" t="s">
        <v>58</v>
      </c>
      <c r="C3" s="19" t="s">
        <v>59</v>
      </c>
      <c r="D3" s="19" t="s">
        <v>60</v>
      </c>
      <c r="E3" s="20" t="s">
        <v>43</v>
      </c>
      <c r="F3" s="19" t="s">
        <v>55</v>
      </c>
      <c r="G3" s="19" t="s">
        <v>61</v>
      </c>
    </row>
    <row r="4" customFormat="false" ht="15" hidden="false" customHeight="false" outlineLevel="0" collapsed="false">
      <c r="A4" s="19" t="s">
        <v>62</v>
      </c>
      <c r="B4" s="19" t="s">
        <v>63</v>
      </c>
      <c r="C4" s="19" t="s">
        <v>59</v>
      </c>
      <c r="D4" s="19" t="s">
        <v>64</v>
      </c>
      <c r="E4" s="20" t="s">
        <v>43</v>
      </c>
      <c r="F4" s="19" t="s">
        <v>65</v>
      </c>
      <c r="G4" s="19" t="s">
        <v>66</v>
      </c>
    </row>
    <row r="5" customFormat="false" ht="15" hidden="false" customHeight="false" outlineLevel="0" collapsed="false">
      <c r="A5" s="19" t="s">
        <v>67</v>
      </c>
      <c r="B5" s="19" t="s">
        <v>68</v>
      </c>
      <c r="C5" s="19" t="s">
        <v>53</v>
      </c>
      <c r="D5" s="19" t="s">
        <v>69</v>
      </c>
      <c r="E5" s="21" t="s">
        <v>41</v>
      </c>
      <c r="F5" s="19" t="s">
        <v>55</v>
      </c>
      <c r="G5" s="19" t="s">
        <v>70</v>
      </c>
    </row>
    <row r="6" customFormat="false" ht="22.35" hidden="false" customHeight="false" outlineLevel="0" collapsed="false">
      <c r="A6" s="19" t="s">
        <v>71</v>
      </c>
      <c r="B6" s="19" t="s">
        <v>72</v>
      </c>
      <c r="C6" s="19" t="s">
        <v>59</v>
      </c>
      <c r="D6" s="19" t="s">
        <v>73</v>
      </c>
      <c r="E6" s="20" t="s">
        <v>43</v>
      </c>
      <c r="F6" s="19" t="s">
        <v>55</v>
      </c>
      <c r="G6" s="19" t="s">
        <v>74</v>
      </c>
    </row>
    <row r="7" customFormat="false" ht="15" hidden="false" customHeight="false" outlineLevel="0" collapsed="false">
      <c r="A7" s="19" t="s">
        <v>75</v>
      </c>
      <c r="B7" s="19" t="s">
        <v>76</v>
      </c>
      <c r="C7" s="19" t="s">
        <v>53</v>
      </c>
      <c r="D7" s="19" t="s">
        <v>77</v>
      </c>
      <c r="E7" s="21" t="s">
        <v>41</v>
      </c>
      <c r="F7" s="19" t="s">
        <v>78</v>
      </c>
      <c r="G7" s="19" t="s">
        <v>79</v>
      </c>
    </row>
    <row r="8" customFormat="false" ht="22.35" hidden="false" customHeight="false" outlineLevel="0" collapsed="false">
      <c r="A8" s="19" t="s">
        <v>80</v>
      </c>
      <c r="B8" s="19" t="s">
        <v>81</v>
      </c>
      <c r="C8" s="19" t="s">
        <v>59</v>
      </c>
      <c r="D8" s="19" t="s">
        <v>82</v>
      </c>
      <c r="E8" s="22" t="s">
        <v>39</v>
      </c>
      <c r="F8" s="19" t="s">
        <v>65</v>
      </c>
      <c r="G8" s="19" t="s">
        <v>83</v>
      </c>
    </row>
    <row r="9" customFormat="false" ht="22.35" hidden="false" customHeight="false" outlineLevel="0" collapsed="false">
      <c r="A9" s="19" t="s">
        <v>84</v>
      </c>
      <c r="B9" s="19" t="s">
        <v>85</v>
      </c>
      <c r="C9" s="19" t="s">
        <v>86</v>
      </c>
      <c r="D9" s="19" t="s">
        <v>87</v>
      </c>
      <c r="E9" s="22" t="s">
        <v>39</v>
      </c>
      <c r="F9" s="19" t="s">
        <v>65</v>
      </c>
      <c r="G9" s="19" t="s">
        <v>88</v>
      </c>
    </row>
    <row r="10" customFormat="false" ht="22.35" hidden="false" customHeight="false" outlineLevel="0" collapsed="false">
      <c r="A10" s="19" t="s">
        <v>89</v>
      </c>
      <c r="B10" s="19" t="s">
        <v>90</v>
      </c>
      <c r="C10" s="19" t="s">
        <v>59</v>
      </c>
      <c r="D10" s="19" t="s">
        <v>91</v>
      </c>
      <c r="E10" s="21" t="s">
        <v>41</v>
      </c>
      <c r="F10" s="19" t="s">
        <v>55</v>
      </c>
      <c r="G10" s="19" t="s">
        <v>92</v>
      </c>
    </row>
    <row r="11" customFormat="false" ht="15" hidden="false" customHeight="false" outlineLevel="0" collapsed="false">
      <c r="A11" s="19" t="s">
        <v>93</v>
      </c>
      <c r="B11" s="19" t="s">
        <v>94</v>
      </c>
      <c r="C11" s="19" t="s">
        <v>59</v>
      </c>
      <c r="D11" s="19" t="s">
        <v>95</v>
      </c>
      <c r="E11" s="21" t="s">
        <v>41</v>
      </c>
      <c r="F11" s="19" t="s">
        <v>96</v>
      </c>
      <c r="G11" s="19" t="s">
        <v>97</v>
      </c>
    </row>
    <row r="12" customFormat="false" ht="15" hidden="false" customHeight="false" outlineLevel="0" collapsed="false">
      <c r="A12" s="19" t="s">
        <v>98</v>
      </c>
      <c r="B12" s="19" t="s">
        <v>99</v>
      </c>
      <c r="C12" s="19" t="s">
        <v>53</v>
      </c>
      <c r="D12" s="19" t="s">
        <v>100</v>
      </c>
      <c r="E12" s="20" t="s">
        <v>43</v>
      </c>
      <c r="F12" s="19" t="s">
        <v>55</v>
      </c>
      <c r="G12" s="19" t="s">
        <v>101</v>
      </c>
    </row>
    <row r="13" customFormat="false" ht="15" hidden="false" customHeight="false" outlineLevel="0" collapsed="false">
      <c r="A13" s="19" t="s">
        <v>102</v>
      </c>
      <c r="B13" s="19" t="s">
        <v>103</v>
      </c>
      <c r="C13" s="19" t="s">
        <v>59</v>
      </c>
      <c r="D13" s="19" t="s">
        <v>104</v>
      </c>
      <c r="E13" s="22" t="s">
        <v>39</v>
      </c>
      <c r="F13" s="19" t="s">
        <v>105</v>
      </c>
      <c r="G13" s="19" t="s">
        <v>106</v>
      </c>
    </row>
    <row r="14" customFormat="false" ht="15" hidden="false" customHeight="false" outlineLevel="0" collapsed="false">
      <c r="A14" s="19" t="s">
        <v>107</v>
      </c>
      <c r="B14" s="19" t="s">
        <v>108</v>
      </c>
      <c r="C14" s="19" t="s">
        <v>59</v>
      </c>
      <c r="D14" s="19" t="s">
        <v>109</v>
      </c>
      <c r="E14" s="22" t="s">
        <v>39</v>
      </c>
      <c r="F14" s="19" t="s">
        <v>110</v>
      </c>
      <c r="G14" s="19" t="s">
        <v>111</v>
      </c>
    </row>
    <row r="15" customFormat="false" ht="15" hidden="false" customHeight="false" outlineLevel="0" collapsed="false">
      <c r="A15" s="19" t="s">
        <v>112</v>
      </c>
      <c r="B15" s="19" t="s">
        <v>113</v>
      </c>
      <c r="C15" s="19" t="s">
        <v>59</v>
      </c>
      <c r="D15" s="19" t="s">
        <v>114</v>
      </c>
      <c r="E15" s="21" t="s">
        <v>41</v>
      </c>
      <c r="F15" s="19" t="s">
        <v>55</v>
      </c>
      <c r="G15" s="19" t="s">
        <v>115</v>
      </c>
    </row>
    <row r="16" customFormat="false" ht="22.35" hidden="false" customHeight="false" outlineLevel="0" collapsed="false">
      <c r="A16" s="19" t="s">
        <v>116</v>
      </c>
      <c r="B16" s="19" t="s">
        <v>117</v>
      </c>
      <c r="C16" s="19" t="s">
        <v>118</v>
      </c>
      <c r="D16" s="19" t="s">
        <v>119</v>
      </c>
      <c r="E16" s="21" t="s">
        <v>41</v>
      </c>
      <c r="F16" s="19" t="s">
        <v>120</v>
      </c>
      <c r="G16" s="19" t="s">
        <v>121</v>
      </c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8"/>
    <col collapsed="false" customWidth="true" hidden="false" outlineLevel="0" max="12" min="12" style="0" width="18"/>
    <col collapsed="false" customWidth="true" hidden="false" outlineLevel="0" max="13" min="13" style="0" width="11"/>
    <col collapsed="false" customWidth="true" hidden="false" outlineLevel="0" max="14" min="14" style="0" width="12"/>
  </cols>
  <sheetData>
    <row r="1" customFormat="false" ht="31.5" hidden="false" customHeight="true" outlineLevel="0" collapsed="false">
      <c r="A1" s="18" t="s">
        <v>122</v>
      </c>
      <c r="B1" s="18" t="s">
        <v>44</v>
      </c>
      <c r="C1" s="18" t="s">
        <v>123</v>
      </c>
      <c r="D1" s="18" t="s">
        <v>124</v>
      </c>
      <c r="E1" s="18" t="s">
        <v>125</v>
      </c>
      <c r="F1" s="18" t="s">
        <v>126</v>
      </c>
      <c r="G1" s="18" t="s">
        <v>127</v>
      </c>
      <c r="H1" s="18" t="s">
        <v>128</v>
      </c>
      <c r="I1" s="18" t="s">
        <v>129</v>
      </c>
      <c r="J1" s="18" t="s">
        <v>130</v>
      </c>
      <c r="K1" s="18" t="s">
        <v>131</v>
      </c>
      <c r="L1" s="18" t="s">
        <v>132</v>
      </c>
      <c r="M1" s="18" t="s">
        <v>133</v>
      </c>
      <c r="N1" s="18" t="s">
        <v>134</v>
      </c>
    </row>
    <row r="2" customFormat="false" ht="32.8" hidden="false" customHeight="false" outlineLevel="0" collapsed="false">
      <c r="A2" s="23" t="s">
        <v>135</v>
      </c>
      <c r="B2" s="23" t="s">
        <v>51</v>
      </c>
      <c r="C2" s="19" t="s">
        <v>136</v>
      </c>
      <c r="D2" s="19" t="s">
        <v>137</v>
      </c>
      <c r="E2" s="19" t="s">
        <v>138</v>
      </c>
      <c r="F2" s="23" t="n">
        <v>3</v>
      </c>
      <c r="G2" s="23" t="n">
        <v>5</v>
      </c>
      <c r="H2" s="23" t="n">
        <f aca="false">F2*G2</f>
        <v>15</v>
      </c>
      <c r="I2" s="24" t="str">
        <f aca="false">IF(H2&gt;=16,"Critical",IF(H2&gt;=10,"High",IF(H2&gt;=5,"Medium","Low")))</f>
        <v>High</v>
      </c>
      <c r="J2" s="23" t="s">
        <v>139</v>
      </c>
      <c r="K2" s="19" t="s">
        <v>140</v>
      </c>
      <c r="L2" s="23" t="s">
        <v>55</v>
      </c>
      <c r="M2" s="23" t="s">
        <v>141</v>
      </c>
      <c r="N2" s="25" t="str">
        <f aca="false">IF(J2="Accept",I2,IF(I2="Critical","High",IF(I2="High","Medium",IF(I2="Medium","Low","Low"))))</f>
        <v>Medium</v>
      </c>
    </row>
    <row r="3" customFormat="false" ht="32.8" hidden="false" customHeight="false" outlineLevel="0" collapsed="false">
      <c r="A3" s="23" t="s">
        <v>142</v>
      </c>
      <c r="B3" s="23" t="s">
        <v>62</v>
      </c>
      <c r="C3" s="19" t="s">
        <v>143</v>
      </c>
      <c r="D3" s="19" t="s">
        <v>144</v>
      </c>
      <c r="E3" s="19" t="s">
        <v>145</v>
      </c>
      <c r="F3" s="23" t="n">
        <v>4</v>
      </c>
      <c r="G3" s="23" t="n">
        <v>4</v>
      </c>
      <c r="H3" s="23" t="n">
        <f aca="false">F3*G3</f>
        <v>16</v>
      </c>
      <c r="I3" s="26" t="str">
        <f aca="false">IF(H3&gt;=16,"Critical",IF(H3&gt;=10,"High",IF(H3&gt;=5,"Medium","Low")))</f>
        <v>Critical</v>
      </c>
      <c r="J3" s="23" t="s">
        <v>139</v>
      </c>
      <c r="K3" s="19" t="s">
        <v>146</v>
      </c>
      <c r="L3" s="23" t="s">
        <v>65</v>
      </c>
      <c r="M3" s="23" t="s">
        <v>147</v>
      </c>
      <c r="N3" s="24" t="str">
        <f aca="false">IF(J3="Accept",I3,IF(I3="Critical","High",IF(I3="High","Medium",IF(I3="Medium","Low","Low"))))</f>
        <v>High</v>
      </c>
    </row>
    <row r="4" customFormat="false" ht="32.8" hidden="false" customHeight="false" outlineLevel="0" collapsed="false">
      <c r="A4" s="23" t="s">
        <v>148</v>
      </c>
      <c r="B4" s="23" t="s">
        <v>57</v>
      </c>
      <c r="C4" s="19" t="s">
        <v>149</v>
      </c>
      <c r="D4" s="19" t="s">
        <v>150</v>
      </c>
      <c r="E4" s="19" t="s">
        <v>151</v>
      </c>
      <c r="F4" s="23" t="n">
        <v>3</v>
      </c>
      <c r="G4" s="23" t="n">
        <v>5</v>
      </c>
      <c r="H4" s="23" t="n">
        <f aca="false">F4*G4</f>
        <v>15</v>
      </c>
      <c r="I4" s="24" t="str">
        <f aca="false">IF(H4&gt;=16,"Critical",IF(H4&gt;=10,"High",IF(H4&gt;=5,"Medium","Low")))</f>
        <v>High</v>
      </c>
      <c r="J4" s="23" t="s">
        <v>139</v>
      </c>
      <c r="K4" s="19" t="s">
        <v>152</v>
      </c>
      <c r="L4" s="23" t="s">
        <v>55</v>
      </c>
      <c r="M4" s="23" t="s">
        <v>141</v>
      </c>
      <c r="N4" s="25" t="str">
        <f aca="false">IF(J4="Accept",I4,IF(I4="Critical","High",IF(I4="High","Medium",IF(I4="Medium","Low","Low"))))</f>
        <v>Medium</v>
      </c>
    </row>
    <row r="5" customFormat="false" ht="32.8" hidden="false" customHeight="false" outlineLevel="0" collapsed="false">
      <c r="A5" s="23" t="s">
        <v>153</v>
      </c>
      <c r="B5" s="23" t="s">
        <v>67</v>
      </c>
      <c r="C5" s="19" t="s">
        <v>154</v>
      </c>
      <c r="D5" s="19" t="s">
        <v>155</v>
      </c>
      <c r="E5" s="19" t="s">
        <v>156</v>
      </c>
      <c r="F5" s="23" t="n">
        <v>2</v>
      </c>
      <c r="G5" s="23" t="n">
        <v>3</v>
      </c>
      <c r="H5" s="23" t="n">
        <f aca="false">F5*G5</f>
        <v>6</v>
      </c>
      <c r="I5" s="25" t="str">
        <f aca="false">IF(H5&gt;=16,"Critical",IF(H5&gt;=10,"High",IF(H5&gt;=5,"Medium","Low")))</f>
        <v>Medium</v>
      </c>
      <c r="J5" s="23" t="s">
        <v>139</v>
      </c>
      <c r="K5" s="19" t="s">
        <v>157</v>
      </c>
      <c r="L5" s="23" t="s">
        <v>55</v>
      </c>
      <c r="M5" s="23" t="s">
        <v>147</v>
      </c>
      <c r="N5" s="27" t="str">
        <f aca="false">IF(J5="Accept",I5,IF(I5="Critical","High",IF(I5="High","Medium",IF(I5="Medium","Low","Low"))))</f>
        <v>Low</v>
      </c>
    </row>
    <row r="6" customFormat="false" ht="32.8" hidden="false" customHeight="false" outlineLevel="0" collapsed="false">
      <c r="A6" s="23" t="s">
        <v>158</v>
      </c>
      <c r="B6" s="23" t="s">
        <v>71</v>
      </c>
      <c r="C6" s="19" t="s">
        <v>159</v>
      </c>
      <c r="D6" s="19" t="s">
        <v>160</v>
      </c>
      <c r="E6" s="19" t="s">
        <v>161</v>
      </c>
      <c r="F6" s="23" t="n">
        <v>2</v>
      </c>
      <c r="G6" s="23" t="n">
        <v>4</v>
      </c>
      <c r="H6" s="23" t="n">
        <f aca="false">F6*G6</f>
        <v>8</v>
      </c>
      <c r="I6" s="25" t="str">
        <f aca="false">IF(H6&gt;=16,"Critical",IF(H6&gt;=10,"High",IF(H6&gt;=5,"Medium","Low")))</f>
        <v>Medium</v>
      </c>
      <c r="J6" s="23" t="s">
        <v>139</v>
      </c>
      <c r="K6" s="19" t="s">
        <v>162</v>
      </c>
      <c r="L6" s="23" t="s">
        <v>55</v>
      </c>
      <c r="M6" s="23" t="s">
        <v>163</v>
      </c>
      <c r="N6" s="27" t="str">
        <f aca="false">IF(J6="Accept",I6,IF(I6="Critical","High",IF(I6="High","Medium",IF(I6="Medium","Low","Low"))))</f>
        <v>Low</v>
      </c>
    </row>
    <row r="7" customFormat="false" ht="32.8" hidden="false" customHeight="false" outlineLevel="0" collapsed="false">
      <c r="A7" s="23" t="s">
        <v>164</v>
      </c>
      <c r="B7" s="23" t="s">
        <v>75</v>
      </c>
      <c r="C7" s="19" t="s">
        <v>165</v>
      </c>
      <c r="D7" s="19" t="s">
        <v>166</v>
      </c>
      <c r="E7" s="19" t="s">
        <v>167</v>
      </c>
      <c r="F7" s="23" t="n">
        <v>3</v>
      </c>
      <c r="G7" s="23" t="n">
        <v>3</v>
      </c>
      <c r="H7" s="23" t="n">
        <f aca="false">F7*G7</f>
        <v>9</v>
      </c>
      <c r="I7" s="25" t="str">
        <f aca="false">IF(H7&gt;=16,"Critical",IF(H7&gt;=10,"High",IF(H7&gt;=5,"Medium","Low")))</f>
        <v>Medium</v>
      </c>
      <c r="J7" s="23" t="s">
        <v>139</v>
      </c>
      <c r="K7" s="19" t="s">
        <v>168</v>
      </c>
      <c r="L7" s="23" t="s">
        <v>78</v>
      </c>
      <c r="M7" s="23" t="s">
        <v>147</v>
      </c>
      <c r="N7" s="27" t="str">
        <f aca="false">IF(J7="Accept",I7,IF(I7="Critical","High",IF(I7="High","Medium",IF(I7="Medium","Low","Low"))))</f>
        <v>Low</v>
      </c>
    </row>
    <row r="8" customFormat="false" ht="32.8" hidden="false" customHeight="false" outlineLevel="0" collapsed="false">
      <c r="A8" s="23" t="s">
        <v>169</v>
      </c>
      <c r="B8" s="23" t="s">
        <v>80</v>
      </c>
      <c r="C8" s="19" t="s">
        <v>170</v>
      </c>
      <c r="D8" s="19" t="s">
        <v>171</v>
      </c>
      <c r="E8" s="19" t="s">
        <v>172</v>
      </c>
      <c r="F8" s="23" t="n">
        <v>3</v>
      </c>
      <c r="G8" s="23" t="n">
        <v>3</v>
      </c>
      <c r="H8" s="23" t="n">
        <f aca="false">F8*G8</f>
        <v>9</v>
      </c>
      <c r="I8" s="25" t="str">
        <f aca="false">IF(H8&gt;=16,"Critical",IF(H8&gt;=10,"High",IF(H8&gt;=5,"Medium","Low")))</f>
        <v>Medium</v>
      </c>
      <c r="J8" s="23" t="s">
        <v>139</v>
      </c>
      <c r="K8" s="19" t="s">
        <v>173</v>
      </c>
      <c r="L8" s="23" t="s">
        <v>65</v>
      </c>
      <c r="M8" s="23" t="s">
        <v>141</v>
      </c>
      <c r="N8" s="27" t="str">
        <f aca="false">IF(J8="Accept",I8,IF(I8="Critical","High",IF(I8="High","Medium",IF(I8="Medium","Low","Low"))))</f>
        <v>Low</v>
      </c>
    </row>
    <row r="9" customFormat="false" ht="22.35" hidden="false" customHeight="false" outlineLevel="0" collapsed="false">
      <c r="A9" s="23" t="s">
        <v>174</v>
      </c>
      <c r="B9" s="23" t="s">
        <v>84</v>
      </c>
      <c r="C9" s="19" t="s">
        <v>175</v>
      </c>
      <c r="D9" s="19" t="s">
        <v>176</v>
      </c>
      <c r="E9" s="19" t="s">
        <v>177</v>
      </c>
      <c r="F9" s="23" t="n">
        <v>2</v>
      </c>
      <c r="G9" s="23" t="n">
        <v>3</v>
      </c>
      <c r="H9" s="23" t="n">
        <f aca="false">F9*G9</f>
        <v>6</v>
      </c>
      <c r="I9" s="25" t="str">
        <f aca="false">IF(H9&gt;=16,"Critical",IF(H9&gt;=10,"High",IF(H9&gt;=5,"Medium","Low")))</f>
        <v>Medium</v>
      </c>
      <c r="J9" s="23" t="s">
        <v>139</v>
      </c>
      <c r="K9" s="19" t="s">
        <v>178</v>
      </c>
      <c r="L9" s="23" t="s">
        <v>65</v>
      </c>
      <c r="M9" s="23" t="s">
        <v>141</v>
      </c>
      <c r="N9" s="27" t="str">
        <f aca="false">IF(J9="Accept",I9,IF(I9="Critical","High",IF(I9="High","Medium",IF(I9="Medium","Low","Low"))))</f>
        <v>Low</v>
      </c>
    </row>
    <row r="10" customFormat="false" ht="22.35" hidden="false" customHeight="false" outlineLevel="0" collapsed="false">
      <c r="A10" s="23" t="s">
        <v>179</v>
      </c>
      <c r="B10" s="23" t="s">
        <v>89</v>
      </c>
      <c r="C10" s="19" t="s">
        <v>180</v>
      </c>
      <c r="D10" s="19" t="s">
        <v>181</v>
      </c>
      <c r="E10" s="19" t="s">
        <v>182</v>
      </c>
      <c r="F10" s="23" t="n">
        <v>2</v>
      </c>
      <c r="G10" s="23" t="n">
        <v>5</v>
      </c>
      <c r="H10" s="23" t="n">
        <f aca="false">F10*G10</f>
        <v>10</v>
      </c>
      <c r="I10" s="24" t="str">
        <f aca="false">IF(H10&gt;=16,"Critical",IF(H10&gt;=10,"High",IF(H10&gt;=5,"Medium","Low")))</f>
        <v>High</v>
      </c>
      <c r="J10" s="23" t="s">
        <v>139</v>
      </c>
      <c r="K10" s="19" t="s">
        <v>183</v>
      </c>
      <c r="L10" s="23" t="s">
        <v>55</v>
      </c>
      <c r="M10" s="23" t="s">
        <v>163</v>
      </c>
      <c r="N10" s="25" t="str">
        <f aca="false">IF(J10="Accept",I10,IF(I10="Critical","High",IF(I10="High","Medium",IF(I10="Medium","Low","Low"))))</f>
        <v>Medium</v>
      </c>
    </row>
    <row r="11" customFormat="false" ht="32.8" hidden="false" customHeight="false" outlineLevel="0" collapsed="false">
      <c r="A11" s="23" t="s">
        <v>184</v>
      </c>
      <c r="B11" s="23" t="s">
        <v>93</v>
      </c>
      <c r="C11" s="19" t="s">
        <v>185</v>
      </c>
      <c r="D11" s="19" t="s">
        <v>186</v>
      </c>
      <c r="E11" s="19" t="s">
        <v>187</v>
      </c>
      <c r="F11" s="23" t="n">
        <v>3</v>
      </c>
      <c r="G11" s="23" t="n">
        <v>3</v>
      </c>
      <c r="H11" s="23" t="n">
        <f aca="false">F11*G11</f>
        <v>9</v>
      </c>
      <c r="I11" s="25" t="str">
        <f aca="false">IF(H11&gt;=16,"Critical",IF(H11&gt;=10,"High",IF(H11&gt;=5,"Medium","Low")))</f>
        <v>Medium</v>
      </c>
      <c r="J11" s="23" t="s">
        <v>139</v>
      </c>
      <c r="K11" s="19" t="s">
        <v>188</v>
      </c>
      <c r="L11" s="23" t="s">
        <v>96</v>
      </c>
      <c r="M11" s="23" t="s">
        <v>147</v>
      </c>
      <c r="N11" s="27" t="str">
        <f aca="false">IF(J11="Accept",I11,IF(I11="Critical","High",IF(I11="High","Medium",IF(I11="Medium","Low","Low"))))</f>
        <v>Low</v>
      </c>
    </row>
    <row r="12" customFormat="false" ht="32.8" hidden="false" customHeight="false" outlineLevel="0" collapsed="false">
      <c r="A12" s="23" t="s">
        <v>189</v>
      </c>
      <c r="B12" s="23" t="s">
        <v>98</v>
      </c>
      <c r="C12" s="19" t="s">
        <v>190</v>
      </c>
      <c r="D12" s="19" t="s">
        <v>191</v>
      </c>
      <c r="E12" s="19" t="s">
        <v>192</v>
      </c>
      <c r="F12" s="23" t="n">
        <v>2</v>
      </c>
      <c r="G12" s="23" t="n">
        <v>5</v>
      </c>
      <c r="H12" s="23" t="n">
        <f aca="false">F12*G12</f>
        <v>10</v>
      </c>
      <c r="I12" s="24" t="str">
        <f aca="false">IF(H12&gt;=16,"Critical",IF(H12&gt;=10,"High",IF(H12&gt;=5,"Medium","Low")))</f>
        <v>High</v>
      </c>
      <c r="J12" s="23" t="s">
        <v>139</v>
      </c>
      <c r="K12" s="19" t="s">
        <v>193</v>
      </c>
      <c r="L12" s="23" t="s">
        <v>55</v>
      </c>
      <c r="M12" s="23" t="s">
        <v>163</v>
      </c>
      <c r="N12" s="25" t="str">
        <f aca="false">IF(J12="Accept",I12,IF(I12="Critical","High",IF(I12="High","Medium",IF(I12="Medium","Low","Low"))))</f>
        <v>Medium</v>
      </c>
    </row>
    <row r="13" customFormat="false" ht="32.8" hidden="false" customHeight="false" outlineLevel="0" collapsed="false">
      <c r="A13" s="23" t="s">
        <v>194</v>
      </c>
      <c r="B13" s="23" t="s">
        <v>102</v>
      </c>
      <c r="C13" s="19" t="s">
        <v>195</v>
      </c>
      <c r="D13" s="19" t="s">
        <v>196</v>
      </c>
      <c r="E13" s="19" t="s">
        <v>197</v>
      </c>
      <c r="F13" s="23" t="n">
        <v>2</v>
      </c>
      <c r="G13" s="23" t="n">
        <v>2</v>
      </c>
      <c r="H13" s="23" t="n">
        <f aca="false">F13*G13</f>
        <v>4</v>
      </c>
      <c r="I13" s="27" t="str">
        <f aca="false">IF(H13&gt;=16,"Critical",IF(H13&gt;=10,"High",IF(H13&gt;=5,"Medium","Low")))</f>
        <v>Low</v>
      </c>
      <c r="J13" s="23" t="s">
        <v>198</v>
      </c>
      <c r="K13" s="19" t="s">
        <v>199</v>
      </c>
      <c r="L13" s="23" t="s">
        <v>105</v>
      </c>
      <c r="M13" s="23" t="s">
        <v>200</v>
      </c>
      <c r="N13" s="27" t="str">
        <f aca="false">IF(J13="Accept",I13,IF(I13="Critical","High",IF(I13="High","Medium",IF(I13="Medium","Low","Low"))))</f>
        <v>Low</v>
      </c>
    </row>
    <row r="14" customFormat="false" ht="32.8" hidden="false" customHeight="false" outlineLevel="0" collapsed="false">
      <c r="A14" s="23" t="s">
        <v>201</v>
      </c>
      <c r="B14" s="23" t="s">
        <v>107</v>
      </c>
      <c r="C14" s="19" t="s">
        <v>195</v>
      </c>
      <c r="D14" s="19" t="s">
        <v>202</v>
      </c>
      <c r="E14" s="19" t="s">
        <v>203</v>
      </c>
      <c r="F14" s="23" t="n">
        <v>2</v>
      </c>
      <c r="G14" s="23" t="n">
        <v>2</v>
      </c>
      <c r="H14" s="23" t="n">
        <f aca="false">F14*G14</f>
        <v>4</v>
      </c>
      <c r="I14" s="27" t="str">
        <f aca="false">IF(H14&gt;=16,"Critical",IF(H14&gt;=10,"High",IF(H14&gt;=5,"Medium","Low")))</f>
        <v>Low</v>
      </c>
      <c r="J14" s="23" t="s">
        <v>198</v>
      </c>
      <c r="K14" s="19" t="s">
        <v>204</v>
      </c>
      <c r="L14" s="23" t="s">
        <v>110</v>
      </c>
      <c r="M14" s="23" t="s">
        <v>200</v>
      </c>
      <c r="N14" s="27" t="str">
        <f aca="false">IF(J14="Accept",I14,IF(I14="Critical","High",IF(I14="High","Medium",IF(I14="Medium","Low","Low"))))</f>
        <v>Low</v>
      </c>
    </row>
    <row r="15" customFormat="false" ht="22.35" hidden="false" customHeight="false" outlineLevel="0" collapsed="false">
      <c r="A15" s="23" t="s">
        <v>205</v>
      </c>
      <c r="B15" s="23" t="s">
        <v>112</v>
      </c>
      <c r="C15" s="19" t="s">
        <v>206</v>
      </c>
      <c r="D15" s="19" t="s">
        <v>207</v>
      </c>
      <c r="E15" s="19" t="s">
        <v>208</v>
      </c>
      <c r="F15" s="23" t="n">
        <v>2</v>
      </c>
      <c r="G15" s="23" t="n">
        <v>4</v>
      </c>
      <c r="H15" s="23" t="n">
        <f aca="false">F15*G15</f>
        <v>8</v>
      </c>
      <c r="I15" s="25" t="str">
        <f aca="false">IF(H15&gt;=16,"Critical",IF(H15&gt;=10,"High",IF(H15&gt;=5,"Medium","Low")))</f>
        <v>Medium</v>
      </c>
      <c r="J15" s="23" t="s">
        <v>139</v>
      </c>
      <c r="K15" s="19" t="s">
        <v>209</v>
      </c>
      <c r="L15" s="23" t="s">
        <v>55</v>
      </c>
      <c r="M15" s="23" t="s">
        <v>147</v>
      </c>
      <c r="N15" s="27" t="str">
        <f aca="false">IF(J15="Accept",I15,IF(I15="Critical","High",IF(I15="High","Medium",IF(I15="Medium","Low","Low"))))</f>
        <v>Low</v>
      </c>
    </row>
    <row r="16" customFormat="false" ht="32.8" hidden="false" customHeight="false" outlineLevel="0" collapsed="false">
      <c r="A16" s="23" t="s">
        <v>210</v>
      </c>
      <c r="B16" s="23" t="s">
        <v>116</v>
      </c>
      <c r="C16" s="19" t="s">
        <v>211</v>
      </c>
      <c r="D16" s="19" t="s">
        <v>212</v>
      </c>
      <c r="E16" s="19" t="s">
        <v>213</v>
      </c>
      <c r="F16" s="23" t="n">
        <v>3</v>
      </c>
      <c r="G16" s="23" t="n">
        <v>3</v>
      </c>
      <c r="H16" s="23" t="n">
        <f aca="false">F16*G16</f>
        <v>9</v>
      </c>
      <c r="I16" s="25" t="str">
        <f aca="false">IF(H16&gt;=16,"Critical",IF(H16&gt;=10,"High",IF(H16&gt;=5,"Medium","Low")))</f>
        <v>Medium</v>
      </c>
      <c r="J16" s="23" t="s">
        <v>139</v>
      </c>
      <c r="K16" s="19" t="s">
        <v>214</v>
      </c>
      <c r="L16" s="23" t="s">
        <v>120</v>
      </c>
      <c r="M16" s="23" t="s">
        <v>141</v>
      </c>
      <c r="N16" s="27" t="str">
        <f aca="false">IF(J16="Accept",I16,IF(I16="Critical","High",IF(I16="High","Medium",IF(I16="Medium","Low","Low"))))</f>
        <v>Low</v>
      </c>
    </row>
  </sheetData>
  <autoFilter ref="A1:N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8" min="4" style="0" width="14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.75" hidden="false" customHeight="true" outlineLevel="0" collapsed="false"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B8" s="9" t="s">
        <v>215</v>
      </c>
    </row>
    <row r="10" customFormat="false" ht="15" hidden="false" customHeight="false" outlineLevel="0" collapsed="false">
      <c r="B10" s="5" t="s">
        <v>35</v>
      </c>
      <c r="C10" s="5" t="s">
        <v>216</v>
      </c>
    </row>
    <row r="11" customFormat="false" ht="15" hidden="false" customHeight="false" outlineLevel="0" collapsed="false">
      <c r="B11" s="28" t="s">
        <v>43</v>
      </c>
      <c r="C11" s="13" t="n">
        <f aca="false">COUNTIF('Risk Register'!I:I,B11)</f>
        <v>1</v>
      </c>
    </row>
    <row r="12" customFormat="false" ht="15" hidden="false" customHeight="false" outlineLevel="0" collapsed="false">
      <c r="B12" s="29" t="s">
        <v>41</v>
      </c>
      <c r="C12" s="13" t="n">
        <f aca="false">COUNTIF('Risk Register'!I:I,B12)</f>
        <v>4</v>
      </c>
    </row>
    <row r="13" customFormat="false" ht="15" hidden="false" customHeight="false" outlineLevel="0" collapsed="false">
      <c r="B13" s="30" t="s">
        <v>39</v>
      </c>
      <c r="C13" s="13" t="n">
        <f aca="false">COUNTIF('Risk Register'!I:I,B13)</f>
        <v>8</v>
      </c>
    </row>
    <row r="14" customFormat="false" ht="15" hidden="false" customHeight="false" outlineLevel="0" collapsed="false">
      <c r="B14" s="31" t="s">
        <v>37</v>
      </c>
      <c r="C14" s="13" t="n">
        <f aca="false">COUNTIF('Risk Register'!I:I,B14)</f>
        <v>2</v>
      </c>
    </row>
    <row r="17" customFormat="false" ht="15" hidden="false" customHeight="false" outlineLevel="0" collapsed="false">
      <c r="B17" s="9" t="s">
        <v>217</v>
      </c>
    </row>
    <row r="18" customFormat="false" ht="45" hidden="false" customHeight="true" outlineLevel="0" collapsed="false">
      <c r="B18" s="32" t="s">
        <v>218</v>
      </c>
      <c r="C18" s="33" t="s">
        <v>219</v>
      </c>
      <c r="D18" s="33"/>
      <c r="E18" s="33"/>
      <c r="F18" s="33"/>
      <c r="G18" s="33"/>
      <c r="H18" s="33"/>
    </row>
    <row r="19" customFormat="false" ht="45" hidden="false" customHeight="true" outlineLevel="0" collapsed="false">
      <c r="B19" s="32" t="s">
        <v>218</v>
      </c>
      <c r="C19" s="33" t="s">
        <v>220</v>
      </c>
      <c r="D19" s="33"/>
      <c r="E19" s="33"/>
      <c r="F19" s="33"/>
      <c r="G19" s="33"/>
      <c r="H19" s="33"/>
    </row>
    <row r="20" customFormat="false" ht="45" hidden="false" customHeight="true" outlineLevel="0" collapsed="false">
      <c r="B20" s="32" t="s">
        <v>218</v>
      </c>
      <c r="C20" s="33" t="s">
        <v>221</v>
      </c>
      <c r="D20" s="33"/>
      <c r="E20" s="33"/>
      <c r="F20" s="33"/>
      <c r="G20" s="33"/>
      <c r="H20" s="33"/>
    </row>
    <row r="21" customFormat="false" ht="45" hidden="false" customHeight="true" outlineLevel="0" collapsed="false">
      <c r="B21" s="32" t="s">
        <v>218</v>
      </c>
      <c r="C21" s="33" t="s">
        <v>222</v>
      </c>
      <c r="D21" s="33"/>
      <c r="E21" s="33"/>
      <c r="F21" s="33"/>
      <c r="G21" s="33"/>
      <c r="H21" s="33"/>
    </row>
  </sheetData>
  <mergeCells count="4">
    <mergeCell ref="C18:H18"/>
    <mergeCell ref="C19:H19"/>
    <mergeCell ref="C20:H20"/>
    <mergeCell ref="C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2026-09-10T08:38:27Z</dcterms:created>
  <dc:creator>openpyxl</dc:creator>
  <dc:description/>
  <dc:language>en-US</dc:language>
  <cp:lastModifiedBy/>
  <dcterms:modified xsi:type="dcterms:W3CDTF">2026-09-10T08:38:27Z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