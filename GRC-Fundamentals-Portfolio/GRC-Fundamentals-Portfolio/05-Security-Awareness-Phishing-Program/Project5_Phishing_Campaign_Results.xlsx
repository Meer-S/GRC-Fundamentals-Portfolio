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Overview" sheetId="1" state="visible" r:id="rId3"/>
    <sheet name="Results by Department" sheetId="2" state="visible" r:id="rId4"/>
    <sheet name="Follow-Up Training Plan" sheetId="3" state="visible" r:id="rId5"/>
  </sheets>
  <definedNames>
    <definedName function="false" hidden="true" localSheetId="2" name="_xlnm._FilterDatabase" vbProcedure="false">'Follow-Up Training Plan'!$B$8:$G$15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<sst xmlns="http://schemas.openxmlformats.org/spreadsheetml/2006/main" count="106" uniqueCount="77">
  <si>
    <t xml:space="preserve">MERIDIAN HEALTHTECH SOLUTIONS</t>
  </si>
  <si>
    <t xml:space="preserve">Q3 2026 Simulated Phishing Campaign — Results Summary</t>
  </si>
  <si>
    <t xml:space="preserve">Security Awareness &amp; Simulated Phishing Program  |  Classification: Confidential  |  Version 1.0</t>
  </si>
  <si>
    <t xml:space="preserve">Campaign Name</t>
  </si>
  <si>
    <t xml:space="preserve">Q3 2026 Simulated Phishing Campaign — Wave 3</t>
  </si>
  <si>
    <t xml:space="preserve">Campaign Dates</t>
  </si>
  <si>
    <t xml:space="preserve">August 3 – August 28, 2026</t>
  </si>
  <si>
    <t xml:space="preserve">Population Targeted</t>
  </si>
  <si>
    <t xml:space="preserve">448 of 452 workforce members (4 excluded: approved leave)</t>
  </si>
  <si>
    <t xml:space="preserve">Pretexts Used</t>
  </si>
  <si>
    <t xml:space="preserve">4 rotating templates: (1) IT password-reset urgency, (2) Executive/CEO wire-request (BEC style), (3) Fake EHR-vendor security-update notice, (4) HR benefits-enrollment deadline</t>
  </si>
  <si>
    <t xml:space="preserve">Delivery Platform</t>
  </si>
  <si>
    <t xml:space="preserve">Simulated phishing module (integrated with the security awareness training LMS)</t>
  </si>
  <si>
    <t xml:space="preserve">Prior Campaign Baseline (Q2 2026)</t>
  </si>
  <si>
    <t xml:space="preserve">Click rate 18.4%  |  Credential-entry rate 6.1%  |  Report rate 21.0%</t>
  </si>
  <si>
    <t xml:space="preserve">Headline Results (Wave 3 vs. Wave 2 Baseline)</t>
  </si>
  <si>
    <t xml:space="preserve">Metric</t>
  </si>
  <si>
    <t xml:space="preserve">Wave 2 (Q2 2026)</t>
  </si>
  <si>
    <t xml:space="preserve">Wave 3 (Q3 2026)</t>
  </si>
  <si>
    <t xml:space="preserve">Change</t>
  </si>
  <si>
    <t xml:space="preserve">Overall Click Rate</t>
  </si>
  <si>
    <t xml:space="preserve">Credential-Entry Rate</t>
  </si>
  <si>
    <t xml:space="preserve">Report Rate (used Report Phishing button)</t>
  </si>
  <si>
    <t xml:space="preserve">Repeat-Clicker Rate (clicked in 2+ consecutive waves)</t>
  </si>
  <si>
    <t xml:space="preserve">Wave 3 Results by Department</t>
  </si>
  <si>
    <t xml:space="preserve">Department</t>
  </si>
  <si>
    <t xml:space="preserve">Targeted</t>
  </si>
  <si>
    <t xml:space="preserve">Clicked Link</t>
  </si>
  <si>
    <t xml:space="preserve">Entered Credentials</t>
  </si>
  <si>
    <t xml:space="preserve">Reported Phishing</t>
  </si>
  <si>
    <t xml:space="preserve">Follow-Up Training Priority</t>
  </si>
  <si>
    <t xml:space="preserve">Click Rate</t>
  </si>
  <si>
    <t xml:space="preserve">Engineering (incl. Bengaluru)</t>
  </si>
  <si>
    <t xml:space="preserve">Low</t>
  </si>
  <si>
    <t xml:space="preserve">Customer Support / Success</t>
  </si>
  <si>
    <t xml:space="preserve">High</t>
  </si>
  <si>
    <t xml:space="preserve">Sales &amp; Marketing</t>
  </si>
  <si>
    <t xml:space="preserve">People Operations</t>
  </si>
  <si>
    <t xml:space="preserve">Finance &amp; Accounting</t>
  </si>
  <si>
    <t xml:space="preserve">Clinical Product / Implementation</t>
  </si>
  <si>
    <t xml:space="preserve">Medium</t>
  </si>
  <si>
    <t xml:space="preserve">Executive Leadership</t>
  </si>
  <si>
    <t xml:space="preserve">IT Operations</t>
  </si>
  <si>
    <t xml:space="preserve">General &amp; Administrative</t>
  </si>
  <si>
    <t xml:space="preserve">Data / Analytics</t>
  </si>
  <si>
    <t xml:space="preserve">Click Rate %</t>
  </si>
  <si>
    <t xml:space="preserve">Recommended Follow-Up Training — Wave 3 Findings</t>
  </si>
  <si>
    <t xml:space="preserve">Department / Group</t>
  </si>
  <si>
    <t xml:space="preserve">Priority</t>
  </si>
  <si>
    <t xml:space="preserve">Finding</t>
  </si>
  <si>
    <t xml:space="preserve">Recommended Follow-Up Action</t>
  </si>
  <si>
    <t xml:space="preserve">Target Completion</t>
  </si>
  <si>
    <t xml:space="preserve">Owner</t>
  </si>
  <si>
    <t xml:space="preserve">21.9% click rate, 9.4% credential-entry — highest of any department, likely driven by high daily external-email volume and urgency-based pretexts</t>
  </si>
  <si>
    <t xml:space="preserve">Targeted 30-min refresher on the IT-urgency and vendor-notice pretexts used this wave; add a support-specific module on verifying inbound vendor requests before entering credentials</t>
  </si>
  <si>
    <t xml:space="preserve">4 weeks</t>
  </si>
  <si>
    <t xml:space="preserve">GRC Lead / People Operations</t>
  </si>
  <si>
    <t xml:space="preserve">21.2% click rate — elevated susceptibility to the executive/BEC-style pretext</t>
  </si>
  <si>
    <t xml:space="preserve">Add a BEC-specific micro-training (5-min) on verifying payment/wire-transfer requests via a secondary channel; enroll in the next scheduled simulation wave with BEC pretext repeated</t>
  </si>
  <si>
    <t xml:space="preserve">GRC Lead</t>
  </si>
  <si>
    <t xml:space="preserve">26.3% click rate on a small population (19) — concerning given financial-transaction access; 3 of 5 clickers entered credentials</t>
  </si>
  <si>
    <t xml:space="preserve">Mandatory 1:1 coaching session with each individual who entered credentials; add finance-specific wire-fraud verification training aligned to the Incident Response Policy (MER-ISP-002)</t>
  </si>
  <si>
    <t xml:space="preserve">2 weeks</t>
  </si>
  <si>
    <t xml:space="preserve">CISO / Finance Controller</t>
  </si>
  <si>
    <t xml:space="preserve">26.9% click rate on a small population (26)</t>
  </si>
  <si>
    <t xml:space="preserve">Include in next quarterly refresher cycle; no individual coaching required given no credential entry</t>
  </si>
  <si>
    <t xml:space="preserve">14.6% click rate; this group has PHI-adjacent access during customer implementations</t>
  </si>
  <si>
    <t xml:space="preserve">Reinforce Data Classification Policy (MER-ISP-004) handling requirements alongside phishing refresher, given PHI exposure risk</t>
  </si>
  <si>
    <t xml:space="preserve">6 weeks</t>
  </si>
  <si>
    <t xml:space="preserve">1 of 9 executives clicked (11.1%) on the BEC-style pretext — executives are high-value targets for real-world whaling attacks</t>
  </si>
  <si>
    <t xml:space="preserve">Executive-specific tabletop briefing on whaling/BEC tactics; consider phishing-resistant hardware MFA keys for this population (ties to NIST RMF risk R-02)</t>
  </si>
  <si>
    <t xml:space="preserve">3 weeks</t>
  </si>
  <si>
    <t xml:space="preserve">CISO</t>
  </si>
  <si>
    <t xml:space="preserve">Engineering / IT Operations / People Ops / Data</t>
  </si>
  <si>
    <t xml:space="preserve">Click rates 0–10%, above-average report rates — reinforce as the program baseline</t>
  </si>
  <si>
    <t xml:space="preserve">No remediation required; recognize top-performing teams in the next all-hands as a positive-reinforcement measure</t>
  </si>
  <si>
    <t xml:space="preserve">N/A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</si>
</sst>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0"/>
      <charset val="1"/>
    </font>
    <font>
      <b val="true"/>
      <sz val="13"/>
      <color rgb="FF1F7A7A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7A7A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1B2A4A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A"/>
      <rgbColor rgb="FFCCCCCC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Simulated Phishing Click Rate by Department (Wave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'Results by Department'!H8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'Results by Department'!$B$9:$B$18</c:f>
              <c:strCache>
                <c:ptCount val="10"/>
                <c:pt idx="0">
                  <c:v>Engineering (incl. Bengaluru)</c:v>
                </c:pt>
                <c:pt idx="1">
                  <c:v>Customer Support / Success</c:v>
                </c:pt>
                <c:pt idx="2">
                  <c:v>Sales &amp; Marketing</c:v>
                </c:pt>
                <c:pt idx="3">
                  <c:v>People Operations</c:v>
                </c:pt>
                <c:pt idx="4">
                  <c:v>Finance &amp; Accounting</c:v>
                </c:pt>
                <c:pt idx="5">
                  <c:v>Clinical Product / Implementation</c:v>
                </c:pt>
                <c:pt idx="6">
                  <c:v>Executive Leadership</c:v>
                </c:pt>
                <c:pt idx="7">
                  <c:v>IT Operations</c:v>
                </c:pt>
                <c:pt idx="8">
                  <c:v>General &amp; Administrative</c:v>
                </c:pt>
                <c:pt idx="9">
                  <c:v>Data / Analytics</c:v>
                </c:pt>
              </c:strCache>
            </c:strRef>
          </c:cat>
          <c:val>
            <c:numRef>
              <c:f>'Results by Department'!$H$9:$H$18</c:f>
              <c:numCache>
                <c:formatCode>0.0%</c:formatCode>
                <c:ptCount val="10"/>
                <c:pt idx="0">
                  <c:v>0.076271186440678</c:v>
                </c:pt>
                <c:pt idx="1">
                  <c:v>0.21875</c:v>
                </c:pt>
                <c:pt idx="2">
                  <c:v>0.211538461538462</c:v>
                </c:pt>
                <c:pt idx="3">
                  <c:v>0.0909090909090909</c:v>
                </c:pt>
                <c:pt idx="4">
                  <c:v>0.263157894736842</c:v>
                </c:pt>
                <c:pt idx="5">
                  <c:v>0.146341463414634</c:v>
                </c:pt>
                <c:pt idx="6">
                  <c:v>0.111111111111111</c:v>
                </c:pt>
                <c:pt idx="7">
                  <c:v>0</c:v>
                </c:pt>
                <c:pt idx="8">
                  <c:v>0.269230769230769</c:v>
                </c:pt>
                <c:pt idx="9">
                  <c:v>0.1</c:v>
                </c:pt>
              </c:numCache>
            </c:numRef>
          </c:val>
        </c:ser>
        <c:gapWidth val="150"/>
        <c:overlap val="0"/>
        <c:axId val="57670473"/>
        <c:axId val="13971052"/>
      </c:barChart>
      <c:catAx>
        <c:axId val="57670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71052"/>
        <c:crosses val="autoZero"/>
        <c:auto val="1"/>
        <c:lblAlgn val="ctr"/>
        <c:lblOffset val="100"/>
        <c:noMultiLvlLbl val="0"/>
      </c:catAx>
      <c:valAx>
        <c:axId val="13971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Click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0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86400</xdr:rowOff>
    </xdr:from>
    <xdr:to>
      <xdr:col>6</xdr:col>
      <xdr:colOff>1419840</xdr:colOff>
      <xdr:row>36</xdr:row>
      <xdr:rowOff>87480</xdr:rowOff>
    </xdr:to>
    <xdr:graphicFrame>
      <xdr:nvGraphicFramePr>
        <xdr:cNvPr id="0" name="Chart 1"/>
        <xdr:cNvGraphicFramePr/>
      </xdr:nvGraphicFramePr>
      <xdr:xfrm>
        <a:off x="141120" y="38577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8" min="5" style="0" width="14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27.75" hidden="false" customHeight="true" outlineLevel="0" collapsed="false">
      <c r="B8" s="5" t="s">
        <v>3</v>
      </c>
      <c r="C8" s="6" t="s">
        <v>4</v>
      </c>
      <c r="D8" s="6"/>
      <c r="E8" s="6"/>
      <c r="F8" s="6"/>
      <c r="G8" s="6"/>
      <c r="H8" s="6"/>
    </row>
    <row r="9" customFormat="false" ht="27.75" hidden="false" customHeight="true" outlineLevel="0" collapsed="false">
      <c r="B9" s="5" t="s">
        <v>5</v>
      </c>
      <c r="C9" s="6" t="s">
        <v>6</v>
      </c>
      <c r="D9" s="6"/>
      <c r="E9" s="6"/>
      <c r="F9" s="6"/>
      <c r="G9" s="6"/>
      <c r="H9" s="6"/>
    </row>
    <row r="10" customFormat="false" ht="27.75" hidden="false" customHeight="true" outlineLevel="0" collapsed="false">
      <c r="B10" s="5" t="s">
        <v>7</v>
      </c>
      <c r="C10" s="6" t="s">
        <v>8</v>
      </c>
      <c r="D10" s="6"/>
      <c r="E10" s="6"/>
      <c r="F10" s="6"/>
      <c r="G10" s="6"/>
      <c r="H10" s="6"/>
    </row>
    <row r="11" customFormat="false" ht="27.75" hidden="false" customHeight="true" outlineLevel="0" collapsed="false">
      <c r="B11" s="5" t="s">
        <v>9</v>
      </c>
      <c r="C11" s="6" t="s">
        <v>10</v>
      </c>
      <c r="D11" s="6"/>
      <c r="E11" s="6"/>
      <c r="F11" s="6"/>
      <c r="G11" s="6"/>
      <c r="H11" s="6"/>
    </row>
    <row r="12" customFormat="false" ht="27.75" hidden="false" customHeight="true" outlineLevel="0" collapsed="false">
      <c r="B12" s="5" t="s">
        <v>11</v>
      </c>
      <c r="C12" s="6" t="s">
        <v>12</v>
      </c>
      <c r="D12" s="6"/>
      <c r="E12" s="6"/>
      <c r="F12" s="6"/>
      <c r="G12" s="6"/>
      <c r="H12" s="6"/>
    </row>
    <row r="13" customFormat="false" ht="27.75" hidden="false" customHeight="true" outlineLevel="0" collapsed="false">
      <c r="B13" s="5" t="s">
        <v>13</v>
      </c>
      <c r="C13" s="6" t="s">
        <v>14</v>
      </c>
      <c r="D13" s="6"/>
      <c r="E13" s="6"/>
      <c r="F13" s="6"/>
      <c r="G13" s="6"/>
      <c r="H13" s="6"/>
    </row>
    <row r="15" customFormat="false" ht="15" hidden="false" customHeight="false" outlineLevel="0" collapsed="false">
      <c r="B15" s="7" t="s">
        <v>15</v>
      </c>
    </row>
    <row r="17" customFormat="false" ht="15" hidden="false" customHeight="false" outlineLevel="0" collapsed="false">
      <c r="B17" s="8" t="s">
        <v>16</v>
      </c>
      <c r="C17" s="8" t="s">
        <v>17</v>
      </c>
      <c r="D17" s="8" t="s">
        <v>18</v>
      </c>
      <c r="E17" s="8" t="s">
        <v>19</v>
      </c>
    </row>
    <row r="18" customFormat="false" ht="15" hidden="false" customHeight="false" outlineLevel="0" collapsed="false">
      <c r="B18" s="9" t="s">
        <v>20</v>
      </c>
      <c r="C18" s="10" t="n">
        <v>0.184</v>
      </c>
      <c r="D18" s="11" t="n">
        <v>0.129</v>
      </c>
      <c r="E18" s="12" t="n">
        <f aca="false">D18-C18</f>
        <v>-0.055</v>
      </c>
    </row>
    <row r="19" customFormat="false" ht="15" hidden="false" customHeight="false" outlineLevel="0" collapsed="false">
      <c r="B19" s="9" t="s">
        <v>21</v>
      </c>
      <c r="C19" s="10" t="n">
        <v>0.061</v>
      </c>
      <c r="D19" s="11" t="n">
        <v>0.034</v>
      </c>
      <c r="E19" s="12" t="n">
        <f aca="false">D19-C19</f>
        <v>-0.027</v>
      </c>
    </row>
    <row r="20" customFormat="false" ht="15" hidden="false" customHeight="false" outlineLevel="0" collapsed="false">
      <c r="B20" s="9" t="s">
        <v>22</v>
      </c>
      <c r="C20" s="10" t="n">
        <v>0.21</v>
      </c>
      <c r="D20" s="11" t="n">
        <v>0.367</v>
      </c>
      <c r="E20" s="12" t="n">
        <f aca="false">D20-C20</f>
        <v>0.157</v>
      </c>
    </row>
    <row r="21" customFormat="false" ht="15" hidden="false" customHeight="false" outlineLevel="0" collapsed="false">
      <c r="B21" s="9" t="s">
        <v>23</v>
      </c>
      <c r="C21" s="10" t="n">
        <v>0.045</v>
      </c>
      <c r="D21" s="11" t="n">
        <v>0.028</v>
      </c>
      <c r="E21" s="13" t="n">
        <f aca="false">D21-C21</f>
        <v>-0.017</v>
      </c>
    </row>
  </sheetData>
  <mergeCells count="6">
    <mergeCell ref="C8:H8"/>
    <mergeCell ref="C9:H9"/>
    <mergeCell ref="C10:H10"/>
    <mergeCell ref="C11:H11"/>
    <mergeCell ref="C12:H12"/>
    <mergeCell ref="C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2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24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30" hidden="false" customHeight="true" outlineLevel="0" collapsed="false">
      <c r="B8" s="14" t="s">
        <v>25</v>
      </c>
      <c r="C8" s="14" t="s">
        <v>26</v>
      </c>
      <c r="D8" s="14" t="s">
        <v>27</v>
      </c>
      <c r="E8" s="14" t="s">
        <v>28</v>
      </c>
      <c r="F8" s="14" t="s">
        <v>29</v>
      </c>
      <c r="G8" s="14" t="s">
        <v>30</v>
      </c>
      <c r="H8" s="8" t="s">
        <v>31</v>
      </c>
    </row>
    <row r="9" customFormat="false" ht="15" hidden="false" customHeight="false" outlineLevel="0" collapsed="false">
      <c r="B9" s="9" t="s">
        <v>32</v>
      </c>
      <c r="C9" s="15" t="n">
        <v>118</v>
      </c>
      <c r="D9" s="15" t="n">
        <v>9</v>
      </c>
      <c r="E9" s="15" t="n">
        <v>3</v>
      </c>
      <c r="F9" s="15" t="n">
        <v>58</v>
      </c>
      <c r="G9" s="16" t="s">
        <v>33</v>
      </c>
      <c r="H9" s="10" t="n">
        <f aca="false">D9/C9</f>
        <v>0.076271186440678</v>
      </c>
    </row>
    <row r="10" customFormat="false" ht="15" hidden="false" customHeight="false" outlineLevel="0" collapsed="false">
      <c r="B10" s="9" t="s">
        <v>34</v>
      </c>
      <c r="C10" s="15" t="n">
        <v>64</v>
      </c>
      <c r="D10" s="15" t="n">
        <v>14</v>
      </c>
      <c r="E10" s="15" t="n">
        <v>6</v>
      </c>
      <c r="F10" s="15" t="n">
        <v>15</v>
      </c>
      <c r="G10" s="17" t="s">
        <v>35</v>
      </c>
      <c r="H10" s="10" t="n">
        <f aca="false">D10/C10</f>
        <v>0.21875</v>
      </c>
    </row>
    <row r="11" customFormat="false" ht="15" hidden="false" customHeight="false" outlineLevel="0" collapsed="false">
      <c r="B11" s="9" t="s">
        <v>36</v>
      </c>
      <c r="C11" s="15" t="n">
        <v>52</v>
      </c>
      <c r="D11" s="15" t="n">
        <v>11</v>
      </c>
      <c r="E11" s="15" t="n">
        <v>4</v>
      </c>
      <c r="F11" s="15" t="n">
        <v>12</v>
      </c>
      <c r="G11" s="17" t="s">
        <v>35</v>
      </c>
      <c r="H11" s="10" t="n">
        <f aca="false">D11/C11</f>
        <v>0.211538461538462</v>
      </c>
    </row>
    <row r="12" customFormat="false" ht="15" hidden="false" customHeight="false" outlineLevel="0" collapsed="false">
      <c r="B12" s="9" t="s">
        <v>37</v>
      </c>
      <c r="C12" s="15" t="n">
        <v>22</v>
      </c>
      <c r="D12" s="15" t="n">
        <v>2</v>
      </c>
      <c r="E12" s="15" t="n">
        <v>0</v>
      </c>
      <c r="F12" s="15" t="n">
        <v>10</v>
      </c>
      <c r="G12" s="16" t="s">
        <v>33</v>
      </c>
      <c r="H12" s="10" t="n">
        <f aca="false">D12/C12</f>
        <v>0.0909090909090909</v>
      </c>
    </row>
    <row r="13" customFormat="false" ht="15" hidden="false" customHeight="false" outlineLevel="0" collapsed="false">
      <c r="B13" s="9" t="s">
        <v>38</v>
      </c>
      <c r="C13" s="15" t="n">
        <v>19</v>
      </c>
      <c r="D13" s="15" t="n">
        <v>5</v>
      </c>
      <c r="E13" s="15" t="n">
        <v>3</v>
      </c>
      <c r="F13" s="15" t="n">
        <v>4</v>
      </c>
      <c r="G13" s="17" t="s">
        <v>35</v>
      </c>
      <c r="H13" s="10" t="n">
        <f aca="false">D13/C13</f>
        <v>0.263157894736842</v>
      </c>
    </row>
    <row r="14" customFormat="false" ht="15" hidden="false" customHeight="false" outlineLevel="0" collapsed="false">
      <c r="B14" s="9" t="s">
        <v>39</v>
      </c>
      <c r="C14" s="15" t="n">
        <v>41</v>
      </c>
      <c r="D14" s="15" t="n">
        <v>6</v>
      </c>
      <c r="E14" s="15" t="n">
        <v>2</v>
      </c>
      <c r="F14" s="15" t="n">
        <v>17</v>
      </c>
      <c r="G14" s="18" t="s">
        <v>40</v>
      </c>
      <c r="H14" s="10" t="n">
        <f aca="false">D14/C14</f>
        <v>0.146341463414634</v>
      </c>
    </row>
    <row r="15" customFormat="false" ht="15" hidden="false" customHeight="false" outlineLevel="0" collapsed="false">
      <c r="B15" s="9" t="s">
        <v>41</v>
      </c>
      <c r="C15" s="15" t="n">
        <v>9</v>
      </c>
      <c r="D15" s="15" t="n">
        <v>1</v>
      </c>
      <c r="E15" s="15" t="n">
        <v>1</v>
      </c>
      <c r="F15" s="15" t="n">
        <v>3</v>
      </c>
      <c r="G15" s="18" t="s">
        <v>40</v>
      </c>
      <c r="H15" s="10" t="n">
        <f aca="false">D15/C15</f>
        <v>0.111111111111111</v>
      </c>
    </row>
    <row r="16" customFormat="false" ht="15" hidden="false" customHeight="false" outlineLevel="0" collapsed="false">
      <c r="B16" s="9" t="s">
        <v>42</v>
      </c>
      <c r="C16" s="15" t="n">
        <v>17</v>
      </c>
      <c r="D16" s="15" t="n">
        <v>0</v>
      </c>
      <c r="E16" s="15" t="n">
        <v>0</v>
      </c>
      <c r="F16" s="15" t="n">
        <v>11</v>
      </c>
      <c r="G16" s="16" t="s">
        <v>33</v>
      </c>
      <c r="H16" s="10" t="n">
        <f aca="false">D16/C16</f>
        <v>0</v>
      </c>
    </row>
    <row r="17" customFormat="false" ht="15" hidden="false" customHeight="false" outlineLevel="0" collapsed="false">
      <c r="B17" s="9" t="s">
        <v>43</v>
      </c>
      <c r="C17" s="15" t="n">
        <v>26</v>
      </c>
      <c r="D17" s="15" t="n">
        <v>7</v>
      </c>
      <c r="E17" s="15" t="n">
        <v>2</v>
      </c>
      <c r="F17" s="15" t="n">
        <v>5</v>
      </c>
      <c r="G17" s="17" t="s">
        <v>35</v>
      </c>
      <c r="H17" s="10" t="n">
        <f aca="false">D17/C17</f>
        <v>0.269230769230769</v>
      </c>
    </row>
    <row r="18" customFormat="false" ht="15" hidden="false" customHeight="false" outlineLevel="0" collapsed="false">
      <c r="B18" s="9" t="s">
        <v>44</v>
      </c>
      <c r="C18" s="15" t="n">
        <v>30</v>
      </c>
      <c r="D18" s="15" t="n">
        <v>3</v>
      </c>
      <c r="E18" s="15" t="n">
        <v>1</v>
      </c>
      <c r="F18" s="15" t="n">
        <v>14</v>
      </c>
      <c r="G18" s="16" t="s">
        <v>33</v>
      </c>
      <c r="H18" s="10" t="n">
        <f aca="false">D18/C18</f>
        <v>0.1</v>
      </c>
    </row>
    <row r="19" customFormat="false" ht="15" hidden="false" customHeight="false" outlineLevel="0" collapsed="false">
      <c r="B19" s="19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15"/>
    <col collapsed="false" customWidth="true" hidden="false" outlineLevel="0" max="7" min="7" style="0" width="20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46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27.75" hidden="false" customHeight="true" outlineLevel="0" collapsed="false">
      <c r="B8" s="14" t="s">
        <v>47</v>
      </c>
      <c r="C8" s="14" t="s">
        <v>48</v>
      </c>
      <c r="D8" s="14" t="s">
        <v>49</v>
      </c>
      <c r="E8" s="14" t="s">
        <v>50</v>
      </c>
      <c r="F8" s="14" t="s">
        <v>51</v>
      </c>
      <c r="G8" s="14" t="s">
        <v>52</v>
      </c>
    </row>
    <row r="9" customFormat="false" ht="60" hidden="false" customHeight="true" outlineLevel="0" collapsed="false">
      <c r="B9" s="20" t="s">
        <v>34</v>
      </c>
      <c r="C9" s="21" t="s">
        <v>35</v>
      </c>
      <c r="D9" s="20" t="s">
        <v>53</v>
      </c>
      <c r="E9" s="20" t="s">
        <v>54</v>
      </c>
      <c r="F9" s="20" t="s">
        <v>55</v>
      </c>
      <c r="G9" s="20" t="s">
        <v>56</v>
      </c>
    </row>
    <row r="10" customFormat="false" ht="60" hidden="false" customHeight="true" outlineLevel="0" collapsed="false">
      <c r="B10" s="20" t="s">
        <v>36</v>
      </c>
      <c r="C10" s="21" t="s">
        <v>35</v>
      </c>
      <c r="D10" s="20" t="s">
        <v>57</v>
      </c>
      <c r="E10" s="20" t="s">
        <v>58</v>
      </c>
      <c r="F10" s="20" t="s">
        <v>55</v>
      </c>
      <c r="G10" s="20" t="s">
        <v>59</v>
      </c>
    </row>
    <row r="11" customFormat="false" ht="60" hidden="false" customHeight="true" outlineLevel="0" collapsed="false">
      <c r="B11" s="20" t="s">
        <v>38</v>
      </c>
      <c r="C11" s="21" t="s">
        <v>35</v>
      </c>
      <c r="D11" s="20" t="s">
        <v>60</v>
      </c>
      <c r="E11" s="20" t="s">
        <v>61</v>
      </c>
      <c r="F11" s="20" t="s">
        <v>62</v>
      </c>
      <c r="G11" s="20" t="s">
        <v>63</v>
      </c>
    </row>
    <row r="12" customFormat="false" ht="60" hidden="false" customHeight="true" outlineLevel="0" collapsed="false">
      <c r="B12" s="20" t="s">
        <v>43</v>
      </c>
      <c r="C12" s="21" t="s">
        <v>35</v>
      </c>
      <c r="D12" s="20" t="s">
        <v>64</v>
      </c>
      <c r="E12" s="20" t="s">
        <v>65</v>
      </c>
      <c r="F12" s="20" t="s">
        <v>55</v>
      </c>
      <c r="G12" s="20" t="s">
        <v>37</v>
      </c>
    </row>
    <row r="13" customFormat="false" ht="60" hidden="false" customHeight="true" outlineLevel="0" collapsed="false">
      <c r="B13" s="20" t="s">
        <v>39</v>
      </c>
      <c r="C13" s="22" t="s">
        <v>40</v>
      </c>
      <c r="D13" s="20" t="s">
        <v>66</v>
      </c>
      <c r="E13" s="20" t="s">
        <v>67</v>
      </c>
      <c r="F13" s="20" t="s">
        <v>68</v>
      </c>
      <c r="G13" s="20" t="s">
        <v>59</v>
      </c>
    </row>
    <row r="14" customFormat="false" ht="60" hidden="false" customHeight="true" outlineLevel="0" collapsed="false">
      <c r="B14" s="20" t="s">
        <v>41</v>
      </c>
      <c r="C14" s="22" t="s">
        <v>40</v>
      </c>
      <c r="D14" s="20" t="s">
        <v>69</v>
      </c>
      <c r="E14" s="20" t="s">
        <v>70</v>
      </c>
      <c r="F14" s="20" t="s">
        <v>71</v>
      </c>
      <c r="G14" s="20" t="s">
        <v>72</v>
      </c>
    </row>
    <row r="15" customFormat="false" ht="60" hidden="false" customHeight="true" outlineLevel="0" collapsed="false">
      <c r="B15" s="20" t="s">
        <v>73</v>
      </c>
      <c r="C15" s="23" t="s">
        <v>33</v>
      </c>
      <c r="D15" s="20" t="s">
        <v>74</v>
      </c>
      <c r="E15" s="20" t="s">
        <v>75</v>
      </c>
      <c r="F15" s="20" t="s">
        <v>76</v>
      </c>
      <c r="G15" s="20" t="s">
        <v>59</v>
      </c>
    </row>
  </sheetData>
  <autoFilter ref="B8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2026-09-10T08:40:44Z</dcterms:created>
  <dc:creator>openpyxl</dc:creator>
  <dc:description/>
  <dc:language>en-US</dc:language>
  <cp:lastModifiedBy/>
  <dcterms:modified xsi:type="dcterms:W3CDTF">2026-09-10T08:40:46Z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